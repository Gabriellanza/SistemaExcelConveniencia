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0805b8514ba2384d/Home/Mario - Sistemas/2 termo/ultimo projeto/"/>
    </mc:Choice>
  </mc:AlternateContent>
  <xr:revisionPtr revIDLastSave="0" documentId="11_20A8B2AB04B9E105F28B7D8F23EEB61F5E2A9F74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lientes" sheetId="4" r:id="rId1"/>
    <sheet name="Funcionários" sheetId="5" r:id="rId2"/>
    <sheet name="Produtos" sheetId="6" r:id="rId3"/>
    <sheet name="Vendas" sheetId="7" r:id="rId4"/>
    <sheet name="Fechamento " sheetId="9" r:id="rId5"/>
    <sheet name="Consultas" sheetId="31" r:id="rId6"/>
    <sheet name="Planilha1" sheetId="22" r:id="rId7"/>
    <sheet name="Planilha2" sheetId="21" r:id="rId8"/>
    <sheet name="Planilha3" sheetId="23" r:id="rId9"/>
    <sheet name="Planilha4" sheetId="25" r:id="rId10"/>
    <sheet name="Planilha5" sheetId="27" r:id="rId11"/>
    <sheet name="Planilha6" sheetId="29" r:id="rId12"/>
  </sheets>
  <definedNames>
    <definedName name="_xlnm._FilterDatabase" localSheetId="0" hidden="1">Clientes!$C$31:$X$81</definedName>
    <definedName name="_xlnm._FilterDatabase" localSheetId="1" hidden="1">Funcionários!$C$31:$Z$40</definedName>
    <definedName name="_xlnm._FilterDatabase" localSheetId="2" hidden="1">Produtos!$C$31:$X$53</definedName>
    <definedName name="_xlnm._FilterDatabase" localSheetId="3" hidden="1">Vendas!$C$36:$U$543</definedName>
  </definedNames>
  <calcPr calcId="191029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9" l="1"/>
  <c r="E14" i="9" l="1"/>
  <c r="E15" i="9"/>
  <c r="E16" i="9"/>
  <c r="E43" i="7"/>
  <c r="E37" i="7"/>
  <c r="E522" i="7"/>
  <c r="E38" i="7"/>
  <c r="E39" i="7"/>
  <c r="E40" i="7"/>
  <c r="E41" i="7"/>
  <c r="E42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28" i="7"/>
  <c r="F20" i="9" l="1"/>
  <c r="F13" i="9"/>
  <c r="G13" i="9"/>
  <c r="G19" i="9"/>
  <c r="H19" i="9" s="1"/>
  <c r="G14" i="9"/>
  <c r="H14" i="9" s="1"/>
  <c r="F19" i="9"/>
  <c r="I19" i="9" s="1"/>
  <c r="J19" i="9" s="1"/>
  <c r="G17" i="9"/>
  <c r="H17" i="9" s="1"/>
  <c r="F17" i="9"/>
  <c r="G16" i="9"/>
  <c r="H16" i="9" s="1"/>
  <c r="G15" i="9"/>
  <c r="H15" i="9" s="1"/>
  <c r="G18" i="9"/>
  <c r="F18" i="9"/>
  <c r="G12" i="9"/>
  <c r="F12" i="9"/>
  <c r="F14" i="9"/>
  <c r="I14" i="9" s="1"/>
  <c r="J14" i="9" s="1"/>
  <c r="F15" i="9"/>
  <c r="G20" i="9"/>
  <c r="H20" i="9" s="1"/>
  <c r="F16" i="9"/>
  <c r="I16" i="9" s="1"/>
  <c r="J16" i="9" s="1"/>
  <c r="E13" i="9"/>
  <c r="E20" i="9"/>
  <c r="E19" i="9"/>
  <c r="E18" i="9"/>
  <c r="E17" i="9"/>
  <c r="K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32" i="6"/>
  <c r="K42" i="6"/>
  <c r="K51" i="6"/>
  <c r="K33" i="6"/>
  <c r="K34" i="6"/>
  <c r="K35" i="6"/>
  <c r="K36" i="6"/>
  <c r="K37" i="6"/>
  <c r="K38" i="6"/>
  <c r="K39" i="6"/>
  <c r="K40" i="6"/>
  <c r="K41" i="6"/>
  <c r="K43" i="6"/>
  <c r="K44" i="6"/>
  <c r="K45" i="6"/>
  <c r="K46" i="6"/>
  <c r="K47" i="6"/>
  <c r="K48" i="6"/>
  <c r="K49" i="6"/>
  <c r="K50" i="6"/>
  <c r="K52" i="6"/>
  <c r="K53" i="6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32" i="4"/>
  <c r="I17" i="9" l="1"/>
  <c r="J17" i="9" s="1"/>
  <c r="I15" i="9"/>
  <c r="J15" i="9" s="1"/>
  <c r="H18" i="9"/>
  <c r="I18" i="9"/>
  <c r="H12" i="9"/>
  <c r="I12" i="9"/>
  <c r="H13" i="9"/>
  <c r="I13" i="9"/>
  <c r="I20" i="9"/>
  <c r="J20" i="9" s="1"/>
  <c r="N32" i="5"/>
  <c r="K53" i="4"/>
  <c r="K39" i="4"/>
  <c r="K71" i="4"/>
  <c r="K55" i="4"/>
  <c r="K63" i="4"/>
  <c r="K47" i="4"/>
  <c r="K79" i="4"/>
  <c r="K45" i="4"/>
  <c r="K77" i="4"/>
  <c r="K69" i="4"/>
  <c r="K37" i="4"/>
  <c r="K61" i="4"/>
  <c r="K78" i="4"/>
  <c r="K70" i="4"/>
  <c r="K62" i="4"/>
  <c r="K54" i="4"/>
  <c r="K46" i="4"/>
  <c r="K38" i="4"/>
  <c r="K75" i="4"/>
  <c r="K67" i="4"/>
  <c r="K59" i="4"/>
  <c r="K51" i="4"/>
  <c r="K43" i="4"/>
  <c r="K35" i="4"/>
  <c r="K76" i="4"/>
  <c r="K68" i="4"/>
  <c r="K60" i="4"/>
  <c r="K52" i="4"/>
  <c r="K44" i="4"/>
  <c r="K36" i="4"/>
  <c r="K32" i="4"/>
  <c r="K74" i="4"/>
  <c r="K66" i="4"/>
  <c r="K58" i="4"/>
  <c r="K50" i="4"/>
  <c r="K42" i="4"/>
  <c r="K34" i="4"/>
  <c r="K81" i="4"/>
  <c r="K73" i="4"/>
  <c r="K65" i="4"/>
  <c r="K57" i="4"/>
  <c r="K49" i="4"/>
  <c r="K41" i="4"/>
  <c r="K33" i="4"/>
  <c r="K80" i="4"/>
  <c r="K72" i="4"/>
  <c r="K64" i="4"/>
  <c r="K56" i="4"/>
  <c r="K48" i="4"/>
  <c r="K40" i="4"/>
  <c r="J13" i="9" l="1"/>
  <c r="J12" i="9"/>
  <c r="J18" i="9"/>
  <c r="M32" i="5"/>
  <c r="N34" i="5"/>
  <c r="N35" i="5"/>
  <c r="N36" i="5"/>
  <c r="N37" i="5"/>
  <c r="N38" i="5"/>
  <c r="N39" i="5"/>
  <c r="N40" i="5"/>
  <c r="N33" i="5"/>
  <c r="M34" i="5"/>
  <c r="M35" i="5"/>
  <c r="M36" i="5"/>
  <c r="M37" i="5"/>
  <c r="M38" i="5"/>
  <c r="M39" i="5"/>
  <c r="M40" i="5"/>
  <c r="M33" i="5"/>
  <c r="E32" i="7" l="1"/>
  <c r="E30" i="7"/>
  <c r="O32" i="5" s="1"/>
  <c r="M53" i="6" l="1"/>
  <c r="U53" i="6"/>
  <c r="Q33" i="6"/>
  <c r="M34" i="6"/>
  <c r="U34" i="6"/>
  <c r="Q35" i="6"/>
  <c r="M36" i="6"/>
  <c r="U36" i="6"/>
  <c r="Q37" i="6"/>
  <c r="M38" i="6"/>
  <c r="U38" i="6"/>
  <c r="Q39" i="6"/>
  <c r="M40" i="6"/>
  <c r="U40" i="6"/>
  <c r="Q41" i="6"/>
  <c r="M42" i="6"/>
  <c r="U42" i="6"/>
  <c r="Q43" i="6"/>
  <c r="M44" i="6"/>
  <c r="U44" i="6"/>
  <c r="Q45" i="6"/>
  <c r="M46" i="6"/>
  <c r="U46" i="6"/>
  <c r="Q47" i="6"/>
  <c r="M48" i="6"/>
  <c r="U48" i="6"/>
  <c r="Q49" i="6"/>
  <c r="M50" i="6"/>
  <c r="U50" i="6"/>
  <c r="Q51" i="6"/>
  <c r="M52" i="6"/>
  <c r="U52" i="6"/>
  <c r="T32" i="6"/>
  <c r="P33" i="4"/>
  <c r="X33" i="4"/>
  <c r="T34" i="4"/>
  <c r="P35" i="4"/>
  <c r="X35" i="4"/>
  <c r="T36" i="4"/>
  <c r="P37" i="4"/>
  <c r="X37" i="4"/>
  <c r="T38" i="4"/>
  <c r="P39" i="4"/>
  <c r="X39" i="4"/>
  <c r="T40" i="4"/>
  <c r="P41" i="4"/>
  <c r="X41" i="4"/>
  <c r="T42" i="4"/>
  <c r="P43" i="4"/>
  <c r="X43" i="4"/>
  <c r="T44" i="4"/>
  <c r="P45" i="4"/>
  <c r="X45" i="4"/>
  <c r="T46" i="4"/>
  <c r="P47" i="4"/>
  <c r="X47" i="4"/>
  <c r="T48" i="4"/>
  <c r="P49" i="4"/>
  <c r="X49" i="4"/>
  <c r="T50" i="4"/>
  <c r="P51" i="4"/>
  <c r="X51" i="4"/>
  <c r="T52" i="4"/>
  <c r="P53" i="4"/>
  <c r="X53" i="4"/>
  <c r="T54" i="4"/>
  <c r="P55" i="4"/>
  <c r="X55" i="4"/>
  <c r="T56" i="4"/>
  <c r="P57" i="4"/>
  <c r="X57" i="4"/>
  <c r="T58" i="4"/>
  <c r="P59" i="4"/>
  <c r="X59" i="4"/>
  <c r="T60" i="4"/>
  <c r="P61" i="4"/>
  <c r="X61" i="4"/>
  <c r="T62" i="4"/>
  <c r="P63" i="4"/>
  <c r="X63" i="4"/>
  <c r="T64" i="4"/>
  <c r="P65" i="4"/>
  <c r="X65" i="4"/>
  <c r="T66" i="4"/>
  <c r="P67" i="4"/>
  <c r="N53" i="6"/>
  <c r="V53" i="6"/>
  <c r="R33" i="6"/>
  <c r="N34" i="6"/>
  <c r="V34" i="6"/>
  <c r="R35" i="6"/>
  <c r="N36" i="6"/>
  <c r="V36" i="6"/>
  <c r="R37" i="6"/>
  <c r="N38" i="6"/>
  <c r="V38" i="6"/>
  <c r="R39" i="6"/>
  <c r="N40" i="6"/>
  <c r="V40" i="6"/>
  <c r="R41" i="6"/>
  <c r="N42" i="6"/>
  <c r="V42" i="6"/>
  <c r="R43" i="6"/>
  <c r="N44" i="6"/>
  <c r="V44" i="6"/>
  <c r="R45" i="6"/>
  <c r="N46" i="6"/>
  <c r="V46" i="6"/>
  <c r="R47" i="6"/>
  <c r="N48" i="6"/>
  <c r="V48" i="6"/>
  <c r="R49" i="6"/>
  <c r="N50" i="6"/>
  <c r="V50" i="6"/>
  <c r="R51" i="6"/>
  <c r="N52" i="6"/>
  <c r="V52" i="6"/>
  <c r="S32" i="6"/>
  <c r="Q33" i="4"/>
  <c r="M34" i="4"/>
  <c r="U34" i="4"/>
  <c r="Q35" i="4"/>
  <c r="M36" i="4"/>
  <c r="U36" i="4"/>
  <c r="Q37" i="4"/>
  <c r="M38" i="4"/>
  <c r="U38" i="4"/>
  <c r="Q39" i="4"/>
  <c r="M40" i="4"/>
  <c r="U40" i="4"/>
  <c r="Q41" i="4"/>
  <c r="M42" i="4"/>
  <c r="U42" i="4"/>
  <c r="Q43" i="4"/>
  <c r="M44" i="4"/>
  <c r="U44" i="4"/>
  <c r="Q45" i="4"/>
  <c r="M46" i="4"/>
  <c r="U46" i="4"/>
  <c r="Q47" i="4"/>
  <c r="M48" i="4"/>
  <c r="U48" i="4"/>
  <c r="Q49" i="4"/>
  <c r="M50" i="4"/>
  <c r="U50" i="4"/>
  <c r="Q51" i="4"/>
  <c r="M52" i="4"/>
  <c r="U52" i="4"/>
  <c r="Q53" i="4"/>
  <c r="M54" i="4"/>
  <c r="U54" i="4"/>
  <c r="Q55" i="4"/>
  <c r="M56" i="4"/>
  <c r="U56" i="4"/>
  <c r="Q57" i="4"/>
  <c r="M58" i="4"/>
  <c r="U58" i="4"/>
  <c r="Q59" i="4"/>
  <c r="M60" i="4"/>
  <c r="U60" i="4"/>
  <c r="Q61" i="4"/>
  <c r="M62" i="4"/>
  <c r="U62" i="4"/>
  <c r="Q63" i="4"/>
  <c r="M64" i="4"/>
  <c r="U64" i="4"/>
  <c r="Q65" i="4"/>
  <c r="M66" i="4"/>
  <c r="U66" i="4"/>
  <c r="Q67" i="4"/>
  <c r="O53" i="6"/>
  <c r="W53" i="6"/>
  <c r="S33" i="6"/>
  <c r="O34" i="6"/>
  <c r="W34" i="6"/>
  <c r="S35" i="6"/>
  <c r="O36" i="6"/>
  <c r="W36" i="6"/>
  <c r="S37" i="6"/>
  <c r="O38" i="6"/>
  <c r="W38" i="6"/>
  <c r="S39" i="6"/>
  <c r="O40" i="6"/>
  <c r="W40" i="6"/>
  <c r="S41" i="6"/>
  <c r="O42" i="6"/>
  <c r="W42" i="6"/>
  <c r="S43" i="6"/>
  <c r="O44" i="6"/>
  <c r="W44" i="6"/>
  <c r="S45" i="6"/>
  <c r="O46" i="6"/>
  <c r="W46" i="6"/>
  <c r="S47" i="6"/>
  <c r="O48" i="6"/>
  <c r="W48" i="6"/>
  <c r="S49" i="6"/>
  <c r="O50" i="6"/>
  <c r="W50" i="6"/>
  <c r="S51" i="6"/>
  <c r="O52" i="6"/>
  <c r="W52" i="6"/>
  <c r="R32" i="6"/>
  <c r="R33" i="4"/>
  <c r="N34" i="4"/>
  <c r="V34" i="4"/>
  <c r="R35" i="4"/>
  <c r="N36" i="4"/>
  <c r="V36" i="4"/>
  <c r="R37" i="4"/>
  <c r="N38" i="4"/>
  <c r="V38" i="4"/>
  <c r="R39" i="4"/>
  <c r="N40" i="4"/>
  <c r="V40" i="4"/>
  <c r="R41" i="4"/>
  <c r="N42" i="4"/>
  <c r="V42" i="4"/>
  <c r="R43" i="4"/>
  <c r="N44" i="4"/>
  <c r="V44" i="4"/>
  <c r="R45" i="4"/>
  <c r="N46" i="4"/>
  <c r="V46" i="4"/>
  <c r="R47" i="4"/>
  <c r="N48" i="4"/>
  <c r="V48" i="4"/>
  <c r="R49" i="4"/>
  <c r="N50" i="4"/>
  <c r="V50" i="4"/>
  <c r="R51" i="4"/>
  <c r="N52" i="4"/>
  <c r="V52" i="4"/>
  <c r="R53" i="4"/>
  <c r="N54" i="4"/>
  <c r="V54" i="4"/>
  <c r="R55" i="4"/>
  <c r="N56" i="4"/>
  <c r="V56" i="4"/>
  <c r="R57" i="4"/>
  <c r="N58" i="4"/>
  <c r="V58" i="4"/>
  <c r="R59" i="4"/>
  <c r="N60" i="4"/>
  <c r="V60" i="4"/>
  <c r="P53" i="6"/>
  <c r="X53" i="6"/>
  <c r="T33" i="6"/>
  <c r="P34" i="6"/>
  <c r="X34" i="6"/>
  <c r="T35" i="6"/>
  <c r="P36" i="6"/>
  <c r="X36" i="6"/>
  <c r="T37" i="6"/>
  <c r="P38" i="6"/>
  <c r="X38" i="6"/>
  <c r="T39" i="6"/>
  <c r="P40" i="6"/>
  <c r="X40" i="6"/>
  <c r="T41" i="6"/>
  <c r="P42" i="6"/>
  <c r="X42" i="6"/>
  <c r="T43" i="6"/>
  <c r="P44" i="6"/>
  <c r="X44" i="6"/>
  <c r="T45" i="6"/>
  <c r="P46" i="6"/>
  <c r="X46" i="6"/>
  <c r="T47" i="6"/>
  <c r="P48" i="6"/>
  <c r="X48" i="6"/>
  <c r="T49" i="6"/>
  <c r="P50" i="6"/>
  <c r="X50" i="6"/>
  <c r="T51" i="6"/>
  <c r="P52" i="6"/>
  <c r="X52" i="6"/>
  <c r="Q32" i="6"/>
  <c r="S33" i="4"/>
  <c r="O34" i="4"/>
  <c r="W34" i="4"/>
  <c r="S35" i="4"/>
  <c r="O36" i="4"/>
  <c r="W36" i="4"/>
  <c r="S37" i="4"/>
  <c r="O38" i="4"/>
  <c r="W38" i="4"/>
  <c r="S39" i="4"/>
  <c r="O40" i="4"/>
  <c r="W40" i="4"/>
  <c r="S41" i="4"/>
  <c r="O42" i="4"/>
  <c r="W42" i="4"/>
  <c r="S43" i="4"/>
  <c r="O44" i="4"/>
  <c r="W44" i="4"/>
  <c r="S45" i="4"/>
  <c r="O46" i="4"/>
  <c r="W46" i="4"/>
  <c r="S47" i="4"/>
  <c r="O48" i="4"/>
  <c r="W48" i="4"/>
  <c r="S49" i="4"/>
  <c r="O50" i="4"/>
  <c r="W50" i="4"/>
  <c r="S51" i="4"/>
  <c r="O52" i="4"/>
  <c r="W52" i="4"/>
  <c r="S53" i="4"/>
  <c r="O54" i="4"/>
  <c r="W54" i="4"/>
  <c r="S55" i="4"/>
  <c r="O56" i="4"/>
  <c r="W56" i="4"/>
  <c r="S57" i="4"/>
  <c r="O58" i="4"/>
  <c r="W58" i="4"/>
  <c r="S59" i="4"/>
  <c r="O60" i="4"/>
  <c r="W60" i="4"/>
  <c r="S61" i="4"/>
  <c r="Q53" i="6"/>
  <c r="M33" i="6"/>
  <c r="U33" i="6"/>
  <c r="Q34" i="6"/>
  <c r="M35" i="6"/>
  <c r="U35" i="6"/>
  <c r="Q36" i="6"/>
  <c r="M37" i="6"/>
  <c r="U37" i="6"/>
  <c r="Q38" i="6"/>
  <c r="M39" i="6"/>
  <c r="U39" i="6"/>
  <c r="Q40" i="6"/>
  <c r="M41" i="6"/>
  <c r="U41" i="6"/>
  <c r="Q42" i="6"/>
  <c r="M43" i="6"/>
  <c r="U43" i="6"/>
  <c r="Q44" i="6"/>
  <c r="M45" i="6"/>
  <c r="U45" i="6"/>
  <c r="Q46" i="6"/>
  <c r="M47" i="6"/>
  <c r="U47" i="6"/>
  <c r="Q48" i="6"/>
  <c r="M49" i="6"/>
  <c r="U49" i="6"/>
  <c r="Q50" i="6"/>
  <c r="M51" i="6"/>
  <c r="U51" i="6"/>
  <c r="Q52" i="6"/>
  <c r="X32" i="6"/>
  <c r="P32" i="6"/>
  <c r="T33" i="4"/>
  <c r="P34" i="4"/>
  <c r="X34" i="4"/>
  <c r="T35" i="4"/>
  <c r="P36" i="4"/>
  <c r="X36" i="4"/>
  <c r="T37" i="4"/>
  <c r="P38" i="4"/>
  <c r="X38" i="4"/>
  <c r="T39" i="4"/>
  <c r="P40" i="4"/>
  <c r="X40" i="4"/>
  <c r="T41" i="4"/>
  <c r="P42" i="4"/>
  <c r="X42" i="4"/>
  <c r="T43" i="4"/>
  <c r="P44" i="4"/>
  <c r="X44" i="4"/>
  <c r="T45" i="4"/>
  <c r="P46" i="4"/>
  <c r="X46" i="4"/>
  <c r="T47" i="4"/>
  <c r="P48" i="4"/>
  <c r="X48" i="4"/>
  <c r="T49" i="4"/>
  <c r="P50" i="4"/>
  <c r="X50" i="4"/>
  <c r="T51" i="4"/>
  <c r="P52" i="4"/>
  <c r="X52" i="4"/>
  <c r="T53" i="4"/>
  <c r="P54" i="4"/>
  <c r="X54" i="4"/>
  <c r="T55" i="4"/>
  <c r="P56" i="4"/>
  <c r="X56" i="4"/>
  <c r="T57" i="4"/>
  <c r="P58" i="4"/>
  <c r="X58" i="4"/>
  <c r="T59" i="4"/>
  <c r="P60" i="4"/>
  <c r="X60" i="4"/>
  <c r="T61" i="4"/>
  <c r="P62" i="4"/>
  <c r="X62" i="4"/>
  <c r="T63" i="4"/>
  <c r="P64" i="4"/>
  <c r="X64" i="4"/>
  <c r="T65" i="4"/>
  <c r="P66" i="4"/>
  <c r="X66" i="4"/>
  <c r="T67" i="4"/>
  <c r="R53" i="6"/>
  <c r="N33" i="6"/>
  <c r="V33" i="6"/>
  <c r="R34" i="6"/>
  <c r="N35" i="6"/>
  <c r="V35" i="6"/>
  <c r="R36" i="6"/>
  <c r="N37" i="6"/>
  <c r="V37" i="6"/>
  <c r="R38" i="6"/>
  <c r="N39" i="6"/>
  <c r="V39" i="6"/>
  <c r="R40" i="6"/>
  <c r="N41" i="6"/>
  <c r="V41" i="6"/>
  <c r="R42" i="6"/>
  <c r="N43" i="6"/>
  <c r="V43" i="6"/>
  <c r="R44" i="6"/>
  <c r="N45" i="6"/>
  <c r="V45" i="6"/>
  <c r="R46" i="6"/>
  <c r="N47" i="6"/>
  <c r="V47" i="6"/>
  <c r="R48" i="6"/>
  <c r="N49" i="6"/>
  <c r="V49" i="6"/>
  <c r="R50" i="6"/>
  <c r="N51" i="6"/>
  <c r="V51" i="6"/>
  <c r="R52" i="6"/>
  <c r="W32" i="6"/>
  <c r="O32" i="6"/>
  <c r="M33" i="4"/>
  <c r="U33" i="4"/>
  <c r="Q34" i="4"/>
  <c r="M35" i="4"/>
  <c r="U35" i="4"/>
  <c r="Q36" i="4"/>
  <c r="M37" i="4"/>
  <c r="U37" i="4"/>
  <c r="Q38" i="4"/>
  <c r="M39" i="4"/>
  <c r="U39" i="4"/>
  <c r="Q40" i="4"/>
  <c r="M41" i="4"/>
  <c r="U41" i="4"/>
  <c r="Q42" i="4"/>
  <c r="M43" i="4"/>
  <c r="U43" i="4"/>
  <c r="Q44" i="4"/>
  <c r="M45" i="4"/>
  <c r="U45" i="4"/>
  <c r="Q46" i="4"/>
  <c r="M47" i="4"/>
  <c r="U47" i="4"/>
  <c r="Q48" i="4"/>
  <c r="M49" i="4"/>
  <c r="U49" i="4"/>
  <c r="Q50" i="4"/>
  <c r="M51" i="4"/>
  <c r="U51" i="4"/>
  <c r="Q52" i="4"/>
  <c r="M53" i="4"/>
  <c r="U53" i="4"/>
  <c r="Q54" i="4"/>
  <c r="M55" i="4"/>
  <c r="U55" i="4"/>
  <c r="Q56" i="4"/>
  <c r="M57" i="4"/>
  <c r="U57" i="4"/>
  <c r="Q58" i="4"/>
  <c r="M59" i="4"/>
  <c r="S53" i="6"/>
  <c r="O33" i="6"/>
  <c r="W33" i="6"/>
  <c r="S34" i="6"/>
  <c r="O35" i="6"/>
  <c r="W35" i="6"/>
  <c r="S36" i="6"/>
  <c r="O37" i="6"/>
  <c r="W37" i="6"/>
  <c r="S38" i="6"/>
  <c r="O39" i="6"/>
  <c r="W39" i="6"/>
  <c r="S40" i="6"/>
  <c r="O41" i="6"/>
  <c r="W41" i="6"/>
  <c r="S42" i="6"/>
  <c r="O43" i="6"/>
  <c r="W43" i="6"/>
  <c r="S44" i="6"/>
  <c r="O45" i="6"/>
  <c r="W45" i="6"/>
  <c r="S46" i="6"/>
  <c r="O47" i="6"/>
  <c r="W47" i="6"/>
  <c r="S48" i="6"/>
  <c r="O49" i="6"/>
  <c r="W49" i="6"/>
  <c r="S50" i="6"/>
  <c r="O51" i="6"/>
  <c r="W51" i="6"/>
  <c r="S52" i="6"/>
  <c r="V32" i="6"/>
  <c r="N32" i="6"/>
  <c r="N33" i="4"/>
  <c r="V33" i="4"/>
  <c r="R34" i="4"/>
  <c r="N35" i="4"/>
  <c r="V35" i="4"/>
  <c r="R36" i="4"/>
  <c r="N37" i="4"/>
  <c r="V37" i="4"/>
  <c r="R38" i="4"/>
  <c r="N39" i="4"/>
  <c r="V39" i="4"/>
  <c r="R40" i="4"/>
  <c r="N41" i="4"/>
  <c r="V41" i="4"/>
  <c r="R42" i="4"/>
  <c r="N43" i="4"/>
  <c r="V43" i="4"/>
  <c r="R44" i="4"/>
  <c r="N45" i="4"/>
  <c r="V45" i="4"/>
  <c r="R46" i="4"/>
  <c r="N47" i="4"/>
  <c r="V47" i="4"/>
  <c r="R48" i="4"/>
  <c r="N49" i="4"/>
  <c r="V49" i="4"/>
  <c r="R50" i="4"/>
  <c r="N51" i="4"/>
  <c r="T53" i="6"/>
  <c r="X37" i="6"/>
  <c r="P43" i="6"/>
  <c r="T48" i="6"/>
  <c r="M32" i="6"/>
  <c r="S34" i="4"/>
  <c r="W39" i="4"/>
  <c r="O45" i="4"/>
  <c r="S50" i="4"/>
  <c r="V53" i="4"/>
  <c r="R56" i="4"/>
  <c r="N59" i="4"/>
  <c r="M61" i="4"/>
  <c r="O62" i="4"/>
  <c r="O63" i="4"/>
  <c r="Q64" i="4"/>
  <c r="R65" i="4"/>
  <c r="R66" i="4"/>
  <c r="S67" i="4"/>
  <c r="P68" i="4"/>
  <c r="X68" i="4"/>
  <c r="T69" i="4"/>
  <c r="P70" i="4"/>
  <c r="X70" i="4"/>
  <c r="T71" i="4"/>
  <c r="P72" i="4"/>
  <c r="X72" i="4"/>
  <c r="T73" i="4"/>
  <c r="P74" i="4"/>
  <c r="X74" i="4"/>
  <c r="T75" i="4"/>
  <c r="P76" i="4"/>
  <c r="X76" i="4"/>
  <c r="T77" i="4"/>
  <c r="P78" i="4"/>
  <c r="X78" i="4"/>
  <c r="T79" i="4"/>
  <c r="P80" i="4"/>
  <c r="X80" i="4"/>
  <c r="T81" i="4"/>
  <c r="T46" i="6"/>
  <c r="O55" i="4"/>
  <c r="N67" i="4"/>
  <c r="U70" i="4"/>
  <c r="M74" i="4"/>
  <c r="Q77" i="4"/>
  <c r="Q81" i="4"/>
  <c r="P33" i="6"/>
  <c r="T38" i="6"/>
  <c r="X43" i="6"/>
  <c r="P49" i="6"/>
  <c r="O35" i="4"/>
  <c r="S40" i="4"/>
  <c r="W45" i="4"/>
  <c r="O51" i="4"/>
  <c r="W53" i="4"/>
  <c r="S56" i="4"/>
  <c r="O59" i="4"/>
  <c r="N61" i="4"/>
  <c r="Q62" i="4"/>
  <c r="R63" i="4"/>
  <c r="R64" i="4"/>
  <c r="S65" i="4"/>
  <c r="S66" i="4"/>
  <c r="U67" i="4"/>
  <c r="Q68" i="4"/>
  <c r="M69" i="4"/>
  <c r="U69" i="4"/>
  <c r="Q70" i="4"/>
  <c r="M71" i="4"/>
  <c r="U71" i="4"/>
  <c r="Q72" i="4"/>
  <c r="M73" i="4"/>
  <c r="U73" i="4"/>
  <c r="Q74" i="4"/>
  <c r="M75" i="4"/>
  <c r="U75" i="4"/>
  <c r="Q76" i="4"/>
  <c r="M77" i="4"/>
  <c r="U77" i="4"/>
  <c r="Q78" i="4"/>
  <c r="M79" i="4"/>
  <c r="U79" i="4"/>
  <c r="Q80" i="4"/>
  <c r="M81" i="4"/>
  <c r="U81" i="4"/>
  <c r="X35" i="6"/>
  <c r="S52" i="4"/>
  <c r="N66" i="4"/>
  <c r="Q71" i="4"/>
  <c r="U74" i="4"/>
  <c r="U78" i="4"/>
  <c r="S32" i="4"/>
  <c r="X33" i="6"/>
  <c r="P39" i="6"/>
  <c r="T44" i="6"/>
  <c r="X49" i="6"/>
  <c r="W35" i="4"/>
  <c r="O41" i="4"/>
  <c r="S46" i="4"/>
  <c r="V51" i="4"/>
  <c r="R54" i="4"/>
  <c r="N57" i="4"/>
  <c r="U59" i="4"/>
  <c r="O61" i="4"/>
  <c r="R62" i="4"/>
  <c r="S63" i="4"/>
  <c r="S64" i="4"/>
  <c r="U65" i="4"/>
  <c r="V66" i="4"/>
  <c r="V67" i="4"/>
  <c r="R68" i="4"/>
  <c r="N69" i="4"/>
  <c r="V69" i="4"/>
  <c r="R70" i="4"/>
  <c r="N71" i="4"/>
  <c r="V71" i="4"/>
  <c r="R72" i="4"/>
  <c r="N73" i="4"/>
  <c r="V73" i="4"/>
  <c r="R74" i="4"/>
  <c r="N75" i="4"/>
  <c r="V75" i="4"/>
  <c r="R76" i="4"/>
  <c r="N77" i="4"/>
  <c r="V77" i="4"/>
  <c r="R78" i="4"/>
  <c r="N79" i="4"/>
  <c r="V79" i="4"/>
  <c r="R80" i="4"/>
  <c r="N81" i="4"/>
  <c r="V81" i="4"/>
  <c r="S48" i="4"/>
  <c r="M68" i="4"/>
  <c r="U72" i="4"/>
  <c r="U76" i="4"/>
  <c r="U80" i="4"/>
  <c r="T34" i="6"/>
  <c r="X39" i="6"/>
  <c r="P45" i="6"/>
  <c r="T50" i="6"/>
  <c r="S36" i="4"/>
  <c r="W41" i="4"/>
  <c r="O47" i="4"/>
  <c r="W51" i="4"/>
  <c r="S54" i="4"/>
  <c r="O57" i="4"/>
  <c r="V59" i="4"/>
  <c r="R61" i="4"/>
  <c r="S62" i="4"/>
  <c r="U63" i="4"/>
  <c r="V64" i="4"/>
  <c r="V65" i="4"/>
  <c r="W66" i="4"/>
  <c r="W67" i="4"/>
  <c r="S68" i="4"/>
  <c r="O69" i="4"/>
  <c r="W69" i="4"/>
  <c r="S70" i="4"/>
  <c r="O71" i="4"/>
  <c r="W71" i="4"/>
  <c r="S72" i="4"/>
  <c r="O73" i="4"/>
  <c r="W73" i="4"/>
  <c r="S74" i="4"/>
  <c r="O75" i="4"/>
  <c r="W75" i="4"/>
  <c r="S76" i="4"/>
  <c r="O77" i="4"/>
  <c r="W77" i="4"/>
  <c r="S78" i="4"/>
  <c r="O79" i="4"/>
  <c r="W79" i="4"/>
  <c r="S80" i="4"/>
  <c r="O81" i="4"/>
  <c r="W81" i="4"/>
  <c r="O43" i="4"/>
  <c r="V61" i="4"/>
  <c r="M65" i="4"/>
  <c r="M70" i="4"/>
  <c r="Q75" i="4"/>
  <c r="Q79" i="4"/>
  <c r="P35" i="6"/>
  <c r="T40" i="6"/>
  <c r="X45" i="6"/>
  <c r="P51" i="6"/>
  <c r="O37" i="4"/>
  <c r="S42" i="4"/>
  <c r="W47" i="4"/>
  <c r="R52" i="4"/>
  <c r="N55" i="4"/>
  <c r="V57" i="4"/>
  <c r="W59" i="4"/>
  <c r="U61" i="4"/>
  <c r="V62" i="4"/>
  <c r="V63" i="4"/>
  <c r="W64" i="4"/>
  <c r="W65" i="4"/>
  <c r="M67" i="4"/>
  <c r="X67" i="4"/>
  <c r="T68" i="4"/>
  <c r="P69" i="4"/>
  <c r="X69" i="4"/>
  <c r="T70" i="4"/>
  <c r="P71" i="4"/>
  <c r="X71" i="4"/>
  <c r="T72" i="4"/>
  <c r="P73" i="4"/>
  <c r="X73" i="4"/>
  <c r="T74" i="4"/>
  <c r="P75" i="4"/>
  <c r="X75" i="4"/>
  <c r="T76" i="4"/>
  <c r="P77" i="4"/>
  <c r="X77" i="4"/>
  <c r="T78" i="4"/>
  <c r="P79" i="4"/>
  <c r="X79" i="4"/>
  <c r="T80" i="4"/>
  <c r="P81" i="4"/>
  <c r="X81" i="4"/>
  <c r="P41" i="6"/>
  <c r="W57" i="4"/>
  <c r="U68" i="4"/>
  <c r="M72" i="4"/>
  <c r="M76" i="4"/>
  <c r="M80" i="4"/>
  <c r="X51" i="6"/>
  <c r="W37" i="4"/>
  <c r="Q60" i="4"/>
  <c r="W62" i="4"/>
  <c r="W63" i="4"/>
  <c r="Q69" i="4"/>
  <c r="Q73" i="4"/>
  <c r="M78" i="4"/>
  <c r="T36" i="6"/>
  <c r="X41" i="6"/>
  <c r="P47" i="6"/>
  <c r="T52" i="6"/>
  <c r="O33" i="4"/>
  <c r="S38" i="4"/>
  <c r="W43" i="4"/>
  <c r="O49" i="4"/>
  <c r="N53" i="4"/>
  <c r="V55" i="4"/>
  <c r="R58" i="4"/>
  <c r="R60" i="4"/>
  <c r="W61" i="4"/>
  <c r="M63" i="4"/>
  <c r="N64" i="4"/>
  <c r="N65" i="4"/>
  <c r="O66" i="4"/>
  <c r="O67" i="4"/>
  <c r="N68" i="4"/>
  <c r="V68" i="4"/>
  <c r="R69" i="4"/>
  <c r="N70" i="4"/>
  <c r="V70" i="4"/>
  <c r="R71" i="4"/>
  <c r="N72" i="4"/>
  <c r="V72" i="4"/>
  <c r="R73" i="4"/>
  <c r="N74" i="4"/>
  <c r="V74" i="4"/>
  <c r="R75" i="4"/>
  <c r="N76" i="4"/>
  <c r="V76" i="4"/>
  <c r="R77" i="4"/>
  <c r="N78" i="4"/>
  <c r="V78" i="4"/>
  <c r="R79" i="4"/>
  <c r="N80" i="4"/>
  <c r="V80" i="4"/>
  <c r="R81" i="4"/>
  <c r="P37" i="6"/>
  <c r="T42" i="6"/>
  <c r="X47" i="6"/>
  <c r="U32" i="6"/>
  <c r="W33" i="4"/>
  <c r="O39" i="4"/>
  <c r="S44" i="4"/>
  <c r="W49" i="4"/>
  <c r="O53" i="4"/>
  <c r="W55" i="4"/>
  <c r="S58" i="4"/>
  <c r="S60" i="4"/>
  <c r="N62" i="4"/>
  <c r="N63" i="4"/>
  <c r="O64" i="4"/>
  <c r="O65" i="4"/>
  <c r="Q66" i="4"/>
  <c r="R67" i="4"/>
  <c r="O68" i="4"/>
  <c r="W68" i="4"/>
  <c r="S69" i="4"/>
  <c r="O70" i="4"/>
  <c r="W70" i="4"/>
  <c r="S71" i="4"/>
  <c r="O72" i="4"/>
  <c r="W72" i="4"/>
  <c r="S73" i="4"/>
  <c r="O74" i="4"/>
  <c r="W74" i="4"/>
  <c r="S75" i="4"/>
  <c r="O76" i="4"/>
  <c r="W76" i="4"/>
  <c r="S77" i="4"/>
  <c r="O78" i="4"/>
  <c r="W78" i="4"/>
  <c r="S79" i="4"/>
  <c r="O80" i="4"/>
  <c r="W80" i="4"/>
  <c r="S81" i="4"/>
  <c r="O32" i="4"/>
  <c r="P32" i="4"/>
  <c r="N32" i="4"/>
  <c r="R32" i="4"/>
  <c r="X32" i="4"/>
  <c r="Q32" i="4"/>
  <c r="V32" i="4"/>
  <c r="M32" i="4"/>
  <c r="W32" i="4"/>
  <c r="T32" i="4"/>
  <c r="U32" i="4"/>
  <c r="W32" i="5"/>
  <c r="V34" i="5"/>
  <c r="R35" i="5"/>
  <c r="Z35" i="5"/>
  <c r="V36" i="5"/>
  <c r="R37" i="5"/>
  <c r="Z37" i="5"/>
  <c r="V38" i="5"/>
  <c r="R39" i="5"/>
  <c r="Z39" i="5"/>
  <c r="V40" i="5"/>
  <c r="W33" i="5"/>
  <c r="O33" i="5"/>
  <c r="O35" i="5"/>
  <c r="O37" i="5"/>
  <c r="S40" i="5"/>
  <c r="U36" i="5"/>
  <c r="U40" i="5"/>
  <c r="V32" i="5"/>
  <c r="O34" i="5"/>
  <c r="W34" i="5"/>
  <c r="S35" i="5"/>
  <c r="O36" i="5"/>
  <c r="W36" i="5"/>
  <c r="S37" i="5"/>
  <c r="O38" i="5"/>
  <c r="W38" i="5"/>
  <c r="S39" i="5"/>
  <c r="O40" i="5"/>
  <c r="W40" i="5"/>
  <c r="V33" i="5"/>
  <c r="W35" i="5"/>
  <c r="W37" i="5"/>
  <c r="Q33" i="5"/>
  <c r="Y37" i="5"/>
  <c r="U32" i="5"/>
  <c r="P34" i="5"/>
  <c r="X34" i="5"/>
  <c r="T35" i="5"/>
  <c r="P36" i="5"/>
  <c r="X36" i="5"/>
  <c r="T37" i="5"/>
  <c r="P38" i="5"/>
  <c r="X38" i="5"/>
  <c r="T39" i="5"/>
  <c r="P40" i="5"/>
  <c r="X40" i="5"/>
  <c r="U33" i="5"/>
  <c r="S34" i="5"/>
  <c r="O39" i="5"/>
  <c r="U34" i="5"/>
  <c r="U38" i="5"/>
  <c r="P33" i="5"/>
  <c r="T32" i="5"/>
  <c r="Q34" i="5"/>
  <c r="Y34" i="5"/>
  <c r="U35" i="5"/>
  <c r="Q36" i="5"/>
  <c r="Y36" i="5"/>
  <c r="U37" i="5"/>
  <c r="Q38" i="5"/>
  <c r="Y38" i="5"/>
  <c r="U39" i="5"/>
  <c r="Q40" i="5"/>
  <c r="Y40" i="5"/>
  <c r="T33" i="5"/>
  <c r="Z32" i="5"/>
  <c r="S36" i="5"/>
  <c r="W39" i="5"/>
  <c r="Q35" i="5"/>
  <c r="Q39" i="5"/>
  <c r="S32" i="5"/>
  <c r="R34" i="5"/>
  <c r="Z34" i="5"/>
  <c r="V35" i="5"/>
  <c r="R36" i="5"/>
  <c r="Z36" i="5"/>
  <c r="V37" i="5"/>
  <c r="R38" i="5"/>
  <c r="Z38" i="5"/>
  <c r="V39" i="5"/>
  <c r="R40" i="5"/>
  <c r="Z40" i="5"/>
  <c r="S33" i="5"/>
  <c r="R32" i="5"/>
  <c r="S38" i="5"/>
  <c r="Z33" i="5"/>
  <c r="Q37" i="5"/>
  <c r="X33" i="5"/>
  <c r="Y32" i="5"/>
  <c r="Q32" i="5"/>
  <c r="T34" i="5"/>
  <c r="P35" i="5"/>
  <c r="X35" i="5"/>
  <c r="T36" i="5"/>
  <c r="P37" i="5"/>
  <c r="X37" i="5"/>
  <c r="T38" i="5"/>
  <c r="P39" i="5"/>
  <c r="X39" i="5"/>
  <c r="T40" i="5"/>
  <c r="Y33" i="5"/>
  <c r="R33" i="5"/>
  <c r="X32" i="5"/>
  <c r="P32" i="5"/>
  <c r="Y35" i="5"/>
  <c r="Y39" i="5"/>
  <c r="C28" i="7" l="1"/>
  <c r="C30" i="7"/>
  <c r="C32" i="7"/>
  <c r="C22" i="7"/>
  <c r="C20" i="7"/>
  <c r="C18" i="7"/>
  <c r="C16" i="7"/>
  <c r="C14" i="7"/>
</calcChain>
</file>

<file path=xl/sharedStrings.xml><?xml version="1.0" encoding="utf-8"?>
<sst xmlns="http://schemas.openxmlformats.org/spreadsheetml/2006/main" count="8941" uniqueCount="531">
  <si>
    <t>Cod. Produto</t>
  </si>
  <si>
    <t>Produto</t>
  </si>
  <si>
    <t>Cod. Cliente</t>
  </si>
  <si>
    <t>Cliente</t>
  </si>
  <si>
    <t>Endereço</t>
  </si>
  <si>
    <t>Bairro</t>
  </si>
  <si>
    <t>Fone</t>
  </si>
  <si>
    <t>Valor Total</t>
  </si>
  <si>
    <t xml:space="preserve">Janeiro 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</si>
  <si>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</si>
  <si>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</si>
  <si>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</si>
  <si>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</si>
  <si>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</si>
  <si>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</si>
  <si>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</si>
  <si>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</si>
  <si>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</si>
  <si>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</si>
  <si>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</si>
  <si>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CPF</t>
  </si>
  <si>
    <t>Qtd. Vendas</t>
  </si>
  <si>
    <t>E-mail</t>
  </si>
  <si>
    <t>Valor Custo</t>
  </si>
  <si>
    <t>Rodrigo Souza</t>
  </si>
  <si>
    <t>Pedro Silva</t>
  </si>
  <si>
    <t>Gabriel Lanza</t>
  </si>
  <si>
    <t>Samira Sanches</t>
  </si>
  <si>
    <t>Bruna Oliveira</t>
  </si>
  <si>
    <t>Felipe Moraes</t>
  </si>
  <si>
    <t>João Pedro</t>
  </si>
  <si>
    <t>Luiz Carlos</t>
  </si>
  <si>
    <t>Ryan Soares</t>
  </si>
  <si>
    <t>João Vitor</t>
  </si>
  <si>
    <t>Leonardo Freire</t>
  </si>
  <si>
    <t>Luciana Silva</t>
  </si>
  <si>
    <t>Amanda Flores</t>
  </si>
  <si>
    <t>Hellen Maia</t>
  </si>
  <si>
    <t>Larissa Souza</t>
  </si>
  <si>
    <t>Sara Neves</t>
  </si>
  <si>
    <t>Ana Carla</t>
  </si>
  <si>
    <t>Junior Azevedo</t>
  </si>
  <si>
    <t>Roberto Mendes</t>
  </si>
  <si>
    <t>Gilberto Oliveira</t>
  </si>
  <si>
    <t>São José</t>
  </si>
  <si>
    <t>Raio do Sol</t>
  </si>
  <si>
    <t>Centro</t>
  </si>
  <si>
    <t>Bela Vista</t>
  </si>
  <si>
    <t>Vila Paulista</t>
  </si>
  <si>
    <t>Matadouro</t>
  </si>
  <si>
    <t>C1</t>
  </si>
  <si>
    <t>F1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</si>
  <si>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</si>
  <si>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</si>
  <si>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</si>
  <si>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</si>
  <si>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</si>
  <si>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</si>
  <si>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</si>
  <si>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</si>
  <si>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</si>
  <si>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</si>
  <si>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</si>
  <si>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</si>
  <si>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</si>
  <si>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</si>
  <si>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</si>
  <si>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</si>
  <si>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</si>
  <si>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</si>
  <si>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</si>
  <si>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F2</t>
  </si>
  <si>
    <t>F3</t>
  </si>
  <si>
    <t>F4</t>
  </si>
  <si>
    <t>F5</t>
  </si>
  <si>
    <t>F6</t>
  </si>
  <si>
    <t>F7</t>
  </si>
  <si>
    <t>F8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</si>
  <si>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</si>
  <si>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</si>
  <si>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</si>
  <si>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</si>
  <si>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</si>
  <si>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</si>
  <si>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</si>
  <si>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</si>
  <si>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</si>
  <si>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</si>
  <si>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</si>
  <si>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</si>
  <si>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</si>
  <si>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</si>
  <si>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</si>
  <si>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</si>
  <si>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</si>
  <si>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</si>
  <si>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</si>
  <si>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</si>
  <si>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Cadastro de Clientes</t>
  </si>
  <si>
    <t>Código do Cliente</t>
  </si>
  <si>
    <t>Cadastro de Produtos</t>
  </si>
  <si>
    <t>Código do Produto</t>
  </si>
  <si>
    <t>Valor de Custo</t>
  </si>
  <si>
    <t>Valor de Venda</t>
  </si>
  <si>
    <t xml:space="preserve">  </t>
  </si>
  <si>
    <t>NFE</t>
  </si>
  <si>
    <t>Data</t>
  </si>
  <si>
    <t>Valor</t>
  </si>
  <si>
    <t>Nota Fiscal</t>
  </si>
  <si>
    <t>Data da Nota</t>
  </si>
  <si>
    <t>Código Produto</t>
  </si>
  <si>
    <t>Cidade</t>
  </si>
  <si>
    <t>Código Cliente</t>
  </si>
  <si>
    <t>P. Prudente</t>
  </si>
  <si>
    <t xml:space="preserve">P. Bernardes </t>
  </si>
  <si>
    <t>Alv.Machado</t>
  </si>
  <si>
    <t>Martinopolis</t>
  </si>
  <si>
    <t xml:space="preserve">Banco de Dados </t>
  </si>
  <si>
    <t>Mês</t>
  </si>
  <si>
    <t>Quantidade</t>
  </si>
  <si>
    <t>P21</t>
  </si>
  <si>
    <t>P22</t>
  </si>
  <si>
    <t>Qtd. Compras</t>
  </si>
  <si>
    <t>Rua 7 de setembro</t>
  </si>
  <si>
    <t>98766-8920</t>
  </si>
  <si>
    <t>Rodrigo@hotmail.com</t>
  </si>
  <si>
    <t>Rua Silvana</t>
  </si>
  <si>
    <t>98766-8921</t>
  </si>
  <si>
    <t>Pedro@hotmail.com</t>
  </si>
  <si>
    <t>Rua Osvaldo Cruz</t>
  </si>
  <si>
    <t>98766-8922</t>
  </si>
  <si>
    <t>Lanza@hotmail.com</t>
  </si>
  <si>
    <t>Rua Dom Pedro</t>
  </si>
  <si>
    <t>98766-8923</t>
  </si>
  <si>
    <t>Samira@hotmail.com</t>
  </si>
  <si>
    <t>Rua P. Prudente</t>
  </si>
  <si>
    <t>98766-8924</t>
  </si>
  <si>
    <t>Bruna@hotmail.com</t>
  </si>
  <si>
    <t>Rua Vania de Paula</t>
  </si>
  <si>
    <t>98766-8925</t>
  </si>
  <si>
    <t>Felipe@hotmail.com</t>
  </si>
  <si>
    <t>Rua 15 de Novembro</t>
  </si>
  <si>
    <t>98766-8926</t>
  </si>
  <si>
    <t>João@hotmail.com</t>
  </si>
  <si>
    <t>Rua dos Tucanos</t>
  </si>
  <si>
    <t>98766-8927</t>
  </si>
  <si>
    <t>Luiz@hotmail.com</t>
  </si>
  <si>
    <t>Rua dos Papagaio</t>
  </si>
  <si>
    <t>98766-8928</t>
  </si>
  <si>
    <t>Ryan@hotmail.com</t>
  </si>
  <si>
    <t>Rua Cristóvão Colombo</t>
  </si>
  <si>
    <t>98766-8929</t>
  </si>
  <si>
    <t>Joãoo@hotmail.com</t>
  </si>
  <si>
    <t>Rua Pixinguinha</t>
  </si>
  <si>
    <t>98766-8930</t>
  </si>
  <si>
    <t>Leonardoo@hotmail.com</t>
  </si>
  <si>
    <t>Rua Japão</t>
  </si>
  <si>
    <t>98766-8931</t>
  </si>
  <si>
    <t>Luciana@hotmail.com</t>
  </si>
  <si>
    <t>Rua Argentina</t>
  </si>
  <si>
    <t>98766-8932</t>
  </si>
  <si>
    <t>Amanda@hotmail.com</t>
  </si>
  <si>
    <t>Rua Girassol</t>
  </si>
  <si>
    <t>98766-8933</t>
  </si>
  <si>
    <t>Hellen@hotmail.com</t>
  </si>
  <si>
    <t>Rua Bela Vista</t>
  </si>
  <si>
    <t>98766-8934</t>
  </si>
  <si>
    <t>Larissa@hotmail.com</t>
  </si>
  <si>
    <t>Rua Venceslau</t>
  </si>
  <si>
    <t>98766-8935</t>
  </si>
  <si>
    <t>Sara@hotmail.com</t>
  </si>
  <si>
    <t>Rua Manoel Souza</t>
  </si>
  <si>
    <t>98766-8936</t>
  </si>
  <si>
    <t>Ana@hotmail.com</t>
  </si>
  <si>
    <t>Rua Girafales</t>
  </si>
  <si>
    <t>98766-8937</t>
  </si>
  <si>
    <t>Junior@hotmail.com</t>
  </si>
  <si>
    <t>Rua Naruto</t>
  </si>
  <si>
    <t>98766-8938</t>
  </si>
  <si>
    <t>Roberto@hotmail.com</t>
  </si>
  <si>
    <t>Rua Saitama</t>
  </si>
  <si>
    <t>98766-8939</t>
  </si>
  <si>
    <t>Gilberto@hotmail.com</t>
  </si>
  <si>
    <t>Mountain Bike Caloi Vulcan - Aro 29</t>
  </si>
  <si>
    <t>Caloi</t>
  </si>
  <si>
    <t>Mountain Bike Caloi 29 - Aro 29</t>
  </si>
  <si>
    <t>-</t>
  </si>
  <si>
    <t>NB</t>
  </si>
  <si>
    <t>Tênis New Balance Fresh Foam 1080v10</t>
  </si>
  <si>
    <t>Bermuda Puma Essentials Sweet</t>
  </si>
  <si>
    <t>Camiseta Puma Essentials</t>
  </si>
  <si>
    <t>Bola Jabulani Copa Fifa 2010</t>
  </si>
  <si>
    <t>Tenis New Balace 27</t>
  </si>
  <si>
    <t>Tenis New Balance 247</t>
  </si>
  <si>
    <t>Tenis New Balance 500</t>
  </si>
  <si>
    <t>Bermuda Nike Dry Trophy</t>
  </si>
  <si>
    <t>Calçao Nike Dry-fit Academy</t>
  </si>
  <si>
    <t>Bermuda Nike Flex Short Woven</t>
  </si>
  <si>
    <t>Tenis Adidas NMD_R1</t>
  </si>
  <si>
    <t xml:space="preserve">Tenis Adidas Falcon </t>
  </si>
  <si>
    <t>Tenis Adidas Ventice</t>
  </si>
  <si>
    <t>Tenis Nike Revolution 5</t>
  </si>
  <si>
    <t>Tenis Nike SB Check</t>
  </si>
  <si>
    <t>Tenis Nike Air</t>
  </si>
  <si>
    <t>Anilha 25 kg</t>
  </si>
  <si>
    <t>Anilha 15 kg</t>
  </si>
  <si>
    <t>Anilha 5 kg</t>
  </si>
  <si>
    <t>Ambos</t>
  </si>
  <si>
    <t>Masculino</t>
  </si>
  <si>
    <t>Feminino</t>
  </si>
  <si>
    <t>Bicicletas</t>
  </si>
  <si>
    <t xml:space="preserve">Bermuda  </t>
  </si>
  <si>
    <t>Camisas</t>
  </si>
  <si>
    <t>Gênero</t>
  </si>
  <si>
    <t>Categoria</t>
  </si>
  <si>
    <t>Marca</t>
  </si>
  <si>
    <t>Esporte</t>
  </si>
  <si>
    <t>Valor Vendas</t>
  </si>
  <si>
    <t>Lazer e Casual</t>
  </si>
  <si>
    <t>Casual</t>
  </si>
  <si>
    <t>Corrida</t>
  </si>
  <si>
    <t>Musculaçao</t>
  </si>
  <si>
    <t>Esporte e Lazer</t>
  </si>
  <si>
    <t>Corrida e Lazer</t>
  </si>
  <si>
    <t>Lazer</t>
  </si>
  <si>
    <t>Tenis Nike RENEW In-Season TR-9</t>
  </si>
  <si>
    <t>Nike</t>
  </si>
  <si>
    <t>Puma</t>
  </si>
  <si>
    <t>Adidas</t>
  </si>
  <si>
    <t>Strongbrand</t>
  </si>
  <si>
    <t>Geral</t>
  </si>
  <si>
    <t>Futebol</t>
  </si>
  <si>
    <t>Academia</t>
  </si>
  <si>
    <t>Código do Funcionário</t>
  </si>
  <si>
    <t>Funcionário</t>
  </si>
  <si>
    <t>Salário</t>
  </si>
  <si>
    <t>Cargo</t>
  </si>
  <si>
    <t>Cadastro de Funcionário</t>
  </si>
  <si>
    <t>Cod. Funcionário</t>
  </si>
  <si>
    <t>852.852.357-25</t>
  </si>
  <si>
    <t>Travessa Tazitsu, 414</t>
  </si>
  <si>
    <t>Brasil Novo</t>
  </si>
  <si>
    <t>sofiasantos@hotmail.com</t>
  </si>
  <si>
    <t>114.587.963.15</t>
  </si>
  <si>
    <t>Rua Praia Grande, 589</t>
  </si>
  <si>
    <t>Cecap</t>
  </si>
  <si>
    <t>lucaaa1@hotmail.com</t>
  </si>
  <si>
    <t>012.234.567-89</t>
  </si>
  <si>
    <t>Rua Victório Gava, 758</t>
  </si>
  <si>
    <t>Vila Boa Vista</t>
  </si>
  <si>
    <t>Felipe Ragne</t>
  </si>
  <si>
    <t>741.123.369-98</t>
  </si>
  <si>
    <t>Rua Alexandre Salesiani, 75</t>
  </si>
  <si>
    <t>Vila Aurélio</t>
  </si>
  <si>
    <t>davi.fernandes@hotmail.com</t>
  </si>
  <si>
    <t>Gerente</t>
  </si>
  <si>
    <t>456.000.987-32</t>
  </si>
  <si>
    <t>Rua Maurí­lio Fernandes, 356</t>
  </si>
  <si>
    <t>matheusdss.adm@hotmail.com</t>
  </si>
  <si>
    <t>302.102.230-98</t>
  </si>
  <si>
    <t>Ana jacinta</t>
  </si>
  <si>
    <t>julia.ribeiro@hotmail.com</t>
  </si>
  <si>
    <t>Jardim São Bento</t>
  </si>
  <si>
    <t>miguel.dss@hotmai.com</t>
  </si>
  <si>
    <t>321.123.222-33</t>
  </si>
  <si>
    <t>Rua Valdemar Mendes, 986</t>
  </si>
  <si>
    <t>alice.adm@hotmail.com</t>
  </si>
  <si>
    <t>182.345.876-38</t>
  </si>
  <si>
    <t>Alice Moreira</t>
  </si>
  <si>
    <t>Miguel Souza</t>
  </si>
  <si>
    <t>Júlia Peres</t>
  </si>
  <si>
    <t>Mateus Azevedo</t>
  </si>
  <si>
    <t>Lucca Junior</t>
  </si>
  <si>
    <t>Sofia Teles</t>
  </si>
  <si>
    <t>Caixa</t>
  </si>
  <si>
    <t>(18)9986-3645</t>
  </si>
  <si>
    <t>(18)9986-3646</t>
  </si>
  <si>
    <t>(18)9986-3647</t>
  </si>
  <si>
    <t>(18)9986-3648</t>
  </si>
  <si>
    <t>(18)9986-3649</t>
  </si>
  <si>
    <t>(18)9986-3650</t>
  </si>
  <si>
    <t>(18)9986-3651</t>
  </si>
  <si>
    <t>(18)9986-3652</t>
  </si>
  <si>
    <t>Rua Aurelina Maria, 741</t>
  </si>
  <si>
    <t>Rua Catarina Mungo , 245</t>
  </si>
  <si>
    <t>Código Funcionário</t>
  </si>
  <si>
    <t>Jardim paulista</t>
  </si>
  <si>
    <t>Presidente Bernades</t>
  </si>
  <si>
    <t>Presidente Prudente</t>
  </si>
  <si>
    <t>Presidente Epitacio</t>
  </si>
  <si>
    <t>C22</t>
  </si>
  <si>
    <t>Pedro Henrique</t>
  </si>
  <si>
    <t>159.879.896-66</t>
  </si>
  <si>
    <t>Rua Joao Gabriel</t>
  </si>
  <si>
    <t>Alv. Machado</t>
  </si>
  <si>
    <t>pedrohen@hotmail.com</t>
  </si>
  <si>
    <t>João Lucas</t>
  </si>
  <si>
    <t>Rua Paixao</t>
  </si>
  <si>
    <t>98766-8908</t>
  </si>
  <si>
    <t>98766-8909</t>
  </si>
  <si>
    <t>98766-8910</t>
  </si>
  <si>
    <t>98766-8911</t>
  </si>
  <si>
    <t>98766-8912</t>
  </si>
  <si>
    <t>98766-8913</t>
  </si>
  <si>
    <t>98766-8914</t>
  </si>
  <si>
    <t>98766-8915</t>
  </si>
  <si>
    <t>98766-8916</t>
  </si>
  <si>
    <t>98766-8917</t>
  </si>
  <si>
    <t>98766-8918</t>
  </si>
  <si>
    <t>98766-8919</t>
  </si>
  <si>
    <t>Joãlucas@hotmail.com</t>
  </si>
  <si>
    <t>Mateus Yan</t>
  </si>
  <si>
    <t>Rua Martinopolis</t>
  </si>
  <si>
    <t>matyan@hotmail.com</t>
  </si>
  <si>
    <t>Igor Pedro</t>
  </si>
  <si>
    <t>Rua México</t>
  </si>
  <si>
    <t>Igorpedro@hotmail.com</t>
  </si>
  <si>
    <t>Amanda Peres</t>
  </si>
  <si>
    <t>Rua Floriapo</t>
  </si>
  <si>
    <t>Amandapp@hotmail.com</t>
  </si>
  <si>
    <t>Maria Maia</t>
  </si>
  <si>
    <t>Rua Rosa</t>
  </si>
  <si>
    <t>Mariama@hotmail.com</t>
  </si>
  <si>
    <t>Leticia Manu</t>
  </si>
  <si>
    <t>Letiici@hotmail.com</t>
  </si>
  <si>
    <t>Lourdes Souza</t>
  </si>
  <si>
    <t>lulu@hotmail.com</t>
  </si>
  <si>
    <t>São Lucas</t>
  </si>
  <si>
    <t>Ana Maria</t>
  </si>
  <si>
    <t>Ans@hotmail.com</t>
  </si>
  <si>
    <t>Teles Mendes</t>
  </si>
  <si>
    <t>Rua Chaves</t>
  </si>
  <si>
    <t>Teles@hotmail.com</t>
  </si>
  <si>
    <t>Roberto Oliveira</t>
  </si>
  <si>
    <t>Robertdo@hotmail.com</t>
  </si>
  <si>
    <t>Luana Pereira</t>
  </si>
  <si>
    <t>Luanna@hotmail.com</t>
  </si>
  <si>
    <t>C21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</si>
  <si>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</si>
  <si>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</si>
  <si>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</si>
  <si>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</si>
  <si>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</si>
  <si>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</si>
  <si>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</si>
  <si>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</si>
  <si>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</si>
  <si>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</si>
  <si>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159.879.896-67</t>
  </si>
  <si>
    <t>159.879.896-68</t>
  </si>
  <si>
    <t>159.879.896-69</t>
  </si>
  <si>
    <t>159.879.896-70</t>
  </si>
  <si>
    <t>159.879.896-71</t>
  </si>
  <si>
    <t>159.879.896-72</t>
  </si>
  <si>
    <t>159.879.896-73</t>
  </si>
  <si>
    <t>159.879.896-74</t>
  </si>
  <si>
    <t>159.879.896-75</t>
  </si>
  <si>
    <t>159.879.896-76</t>
  </si>
  <si>
    <t>159.879.896-77</t>
  </si>
  <si>
    <t>159.879.896-78</t>
  </si>
  <si>
    <t>159.879.896-79</t>
  </si>
  <si>
    <t>159.879.896-80</t>
  </si>
  <si>
    <t>159.879.896-81</t>
  </si>
  <si>
    <t>159.879.896-82</t>
  </si>
  <si>
    <t>159.879.896-83</t>
  </si>
  <si>
    <t>159.879.896-84</t>
  </si>
  <si>
    <t>159.879.896-85</t>
  </si>
  <si>
    <t>159.879.896-86</t>
  </si>
  <si>
    <t>159.879.896-87</t>
  </si>
  <si>
    <t>159.879.896-88</t>
  </si>
  <si>
    <t>159.879.896-89</t>
  </si>
  <si>
    <t>159.879.896-90</t>
  </si>
  <si>
    <t>159.879.896-91</t>
  </si>
  <si>
    <t>159.879.896-92</t>
  </si>
  <si>
    <t>159.879.896-93</t>
  </si>
  <si>
    <t>159.879.896-94</t>
  </si>
  <si>
    <t>159.879.896-95</t>
  </si>
  <si>
    <t>159.879.896-96</t>
  </si>
  <si>
    <t>159.879.896-97</t>
  </si>
  <si>
    <t>Cadastro de Vendas</t>
  </si>
  <si>
    <t>F9</t>
  </si>
  <si>
    <t>Pedro Mendes</t>
  </si>
  <si>
    <t>Vendedor</t>
  </si>
  <si>
    <t>Rua Emilia Souza</t>
  </si>
  <si>
    <t>Alvares Machado</t>
  </si>
  <si>
    <t>pedroo@hotmail.com</t>
  </si>
  <si>
    <t>252.852.357-24</t>
  </si>
  <si>
    <t>(18)9986-3644</t>
  </si>
  <si>
    <t>C33</t>
  </si>
  <si>
    <t>159.879.896-98</t>
  </si>
  <si>
    <t>Jardim Santa Clara</t>
  </si>
  <si>
    <t>98366-8940</t>
  </si>
  <si>
    <t>alice@hotmail.com</t>
  </si>
  <si>
    <t>C34</t>
  </si>
  <si>
    <t>159.879.896-99</t>
  </si>
  <si>
    <t>Jardim Santa Elisa</t>
  </si>
  <si>
    <t>98766-8941</t>
  </si>
  <si>
    <t>miguel@hotmail.com</t>
  </si>
  <si>
    <t>C35</t>
  </si>
  <si>
    <t>159.879.896-100</t>
  </si>
  <si>
    <t>Rua Messias Pereira dos Santos</t>
  </si>
  <si>
    <t>Bosque Itaju</t>
  </si>
  <si>
    <t>98766-8942</t>
  </si>
  <si>
    <t>isabela@hotmail.com</t>
  </si>
  <si>
    <t>C36</t>
  </si>
  <si>
    <t>159.879.896-101</t>
  </si>
  <si>
    <t>Rua Moacyr Cestari</t>
  </si>
  <si>
    <t>98766-8943</t>
  </si>
  <si>
    <t>júlia@hotmail.com</t>
  </si>
  <si>
    <t>C37</t>
  </si>
  <si>
    <t>159.879.896-102</t>
  </si>
  <si>
    <t>Travessa Tazitsu</t>
  </si>
  <si>
    <t>98766-8944</t>
  </si>
  <si>
    <t>lucca@hotmail.com</t>
  </si>
  <si>
    <t>C38</t>
  </si>
  <si>
    <t>159.879.896-103</t>
  </si>
  <si>
    <t>Rua Celeste Peruche</t>
  </si>
  <si>
    <t>98766-8945</t>
  </si>
  <si>
    <t>lívia@hotmail.com</t>
  </si>
  <si>
    <t>C39</t>
  </si>
  <si>
    <t>159.879.896-104</t>
  </si>
  <si>
    <t>Rua Praia Grande</t>
  </si>
  <si>
    <t>Jardim Santa Olga</t>
  </si>
  <si>
    <t>98766-8946</t>
  </si>
  <si>
    <t>pedro@hotmail.com</t>
  </si>
  <si>
    <t>C40</t>
  </si>
  <si>
    <t>159.879.896-105</t>
  </si>
  <si>
    <t>Rua Valdemar Mendes</t>
  </si>
  <si>
    <t>Jardim Santa Paula</t>
  </si>
  <si>
    <t>98766-8947</t>
  </si>
  <si>
    <t>manuela@hotmail.com</t>
  </si>
  <si>
    <t>C41</t>
  </si>
  <si>
    <t>159.879.896-106</t>
  </si>
  <si>
    <t>Rua dos Girassóis</t>
  </si>
  <si>
    <t>Jardim Santana</t>
  </si>
  <si>
    <t>98766-8948</t>
  </si>
  <si>
    <t>sofia@hotmail.com</t>
  </si>
  <si>
    <t>C42</t>
  </si>
  <si>
    <t>159.879.896-107</t>
  </si>
  <si>
    <t>Rua Orquideas</t>
  </si>
  <si>
    <t>98766-8949</t>
  </si>
  <si>
    <t>matheus@hotmail.com</t>
  </si>
  <si>
    <t>C43</t>
  </si>
  <si>
    <t>159.879.896-108</t>
  </si>
  <si>
    <t>Rua Catarina Mungo Pisssulin</t>
  </si>
  <si>
    <t>Rua Catarina Mungo Pisssulin, 245</t>
  </si>
  <si>
    <t>98766-8950</t>
  </si>
  <si>
    <t>arthur@hotmail.com</t>
  </si>
  <si>
    <t>C44</t>
  </si>
  <si>
    <t>159.879.896-109</t>
  </si>
  <si>
    <t>Rua Maurí­lio Fernandes</t>
  </si>
  <si>
    <t>Vila Áurea</t>
  </si>
  <si>
    <t>98766-8951</t>
  </si>
  <si>
    <t>bernardo@hotmail.com</t>
  </si>
  <si>
    <t>C45</t>
  </si>
  <si>
    <t>159.879.896-110</t>
  </si>
  <si>
    <t>Rua Palmares</t>
  </si>
  <si>
    <t>98766-8952</t>
  </si>
  <si>
    <t>davi@hotmail.com</t>
  </si>
  <si>
    <t>C46</t>
  </si>
  <si>
    <t>159.879.896-111</t>
  </si>
  <si>
    <t>Rua Francisco Lopes</t>
  </si>
  <si>
    <t>Vila Barbeiro</t>
  </si>
  <si>
    <t>98766-8953</t>
  </si>
  <si>
    <t>gabriel@hotmail.com</t>
  </si>
  <si>
    <t>C47</t>
  </si>
  <si>
    <t>159.879.896-112</t>
  </si>
  <si>
    <t>Rua Alexandre Salesiani</t>
  </si>
  <si>
    <t>98766-8954</t>
  </si>
  <si>
    <t>heitor@hotmail.com</t>
  </si>
  <si>
    <t>C48</t>
  </si>
  <si>
    <t>159.879.896-113</t>
  </si>
  <si>
    <t>Rua Aurelina Maria de Jesus Costa</t>
  </si>
  <si>
    <t>vila boa vista</t>
  </si>
  <si>
    <t>98766-8955</t>
  </si>
  <si>
    <t>anderson@hotmail.com</t>
  </si>
  <si>
    <t>C49</t>
  </si>
  <si>
    <t>Junior Leite</t>
  </si>
  <si>
    <t>159.879.896-114</t>
  </si>
  <si>
    <t>Rua Victório Gava</t>
  </si>
  <si>
    <t>98766-8956</t>
  </si>
  <si>
    <t>C50</t>
  </si>
  <si>
    <t>159.879.896-115</t>
  </si>
  <si>
    <t>98766-8957</t>
  </si>
  <si>
    <t>mateusragne@hotmail.com</t>
  </si>
  <si>
    <t>Alice Pontes</t>
  </si>
  <si>
    <t>Miguel Salmão</t>
  </si>
  <si>
    <t>Isabela Pereira</t>
  </si>
  <si>
    <t>Júlia Matias</t>
  </si>
  <si>
    <t>Lucca Luiz</t>
  </si>
  <si>
    <t>Lívia Carol</t>
  </si>
  <si>
    <t>Pedro Roberto</t>
  </si>
  <si>
    <t>Manuela Rita</t>
  </si>
  <si>
    <t>Sofia Pinto</t>
  </si>
  <si>
    <t>Matheus Enbu</t>
  </si>
  <si>
    <t>Arthur Urtigo</t>
  </si>
  <si>
    <t>Bernardo Santo</t>
  </si>
  <si>
    <t>Davi Teres</t>
  </si>
  <si>
    <t>Gabriel Caval</t>
  </si>
  <si>
    <t>Heitor Kuller</t>
  </si>
  <si>
    <t>Anderson Silva</t>
  </si>
  <si>
    <t>Mateus Ragne</t>
  </si>
  <si>
    <t>juniorleite@hotmail.com</t>
  </si>
  <si>
    <t>Qtd. Vendas Mensal</t>
  </si>
  <si>
    <t xml:space="preserve">Mês Escolhido: </t>
  </si>
  <si>
    <t>Valor Vendas Mensal</t>
  </si>
  <si>
    <t>Gabriel.@hotmail.com</t>
  </si>
  <si>
    <t>Comissão</t>
  </si>
  <si>
    <t>Bônus</t>
  </si>
  <si>
    <t>Fechamento dos Funcionários</t>
  </si>
  <si>
    <t>Mês De Referência(1 a 12)</t>
  </si>
  <si>
    <t xml:space="preserve">Salário </t>
  </si>
  <si>
    <t>Rótulos de Linha</t>
  </si>
  <si>
    <t>Total Geral</t>
  </si>
  <si>
    <t>Soma de Qtd. Vendas</t>
  </si>
  <si>
    <t>Soma de Valor Total</t>
  </si>
  <si>
    <t>Tabela Dinâmica do Valor total de Clientes por Cidade</t>
  </si>
  <si>
    <t>Tabela Dinâmica de Produtos do tipo Geral</t>
  </si>
  <si>
    <t>P. Bernades</t>
  </si>
  <si>
    <t>Tabela Dinâmica de Produtos Vendidos de Funcionários por Cidade</t>
  </si>
  <si>
    <t>Soma de Valor</t>
  </si>
  <si>
    <t>Soma de Quantidade</t>
  </si>
  <si>
    <t>Tabela Dinâmica de Vendas de Produtos por Funcionário</t>
  </si>
  <si>
    <t>Tabela Dinâmica de Compras de Clientes por Mês</t>
  </si>
  <si>
    <t>Tabela Dinâmica de Produtos do genêro Masculino</t>
  </si>
  <si>
    <t>Não Esportivo</t>
  </si>
  <si>
    <t>Consulta de Produtos para Musculação</t>
  </si>
  <si>
    <t>Consulta de Clientes com volume (qtd) de compras superior a 15</t>
  </si>
  <si>
    <t>Consulta de Produtos do Gênero Feminino</t>
  </si>
  <si>
    <t>Consulta de Funcionarios com vendas ($) superiores a 45.000</t>
  </si>
  <si>
    <t>Consulta de Vendas de Gabriel Lanza no mês de Agosto para o Cliente Gabriel Caval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</si>
</sst>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&quot;R$&quot;\ * #,##0.00_-;\-&quot;R$&quot;\ * #,##0.00_-;_-&quot;R$&quot;\ * &quot;-&quot;??_-;_-@"/>
  </numFmts>
  <fonts count="2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0"/>
      <name val="Arial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6"/>
      <color theme="0"/>
      <name val="Arial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Arial Black"/>
      <family val="2"/>
    </font>
    <font>
      <u/>
      <sz val="11"/>
      <color theme="1"/>
      <name val="Calibri"/>
      <family val="2"/>
      <scheme val="minor"/>
    </font>
    <font>
      <sz val="11"/>
      <color theme="1"/>
      <name val="Arial"/>
    </font>
    <font>
      <sz val="11"/>
      <color theme="1"/>
      <name val="Calibri"/>
      <family val="2"/>
    </font>
    <font>
      <b/>
      <sz val="18"/>
      <color rgb="FFFFFFFF"/>
      <name val="Arial"/>
      <family val="2"/>
    </font>
    <font>
      <sz val="11"/>
      <color theme="1"/>
      <name val="Arial"/>
      <family val="2"/>
    </font>
    <font>
      <b/>
      <sz val="18"/>
      <name val="Calibri"/>
      <family val="2"/>
      <scheme val="minor"/>
    </font>
    <font>
      <b/>
      <sz val="20"/>
      <name val="Arial Black"/>
      <family val="2"/>
    </font>
    <font>
      <b/>
      <sz val="24"/>
      <name val="Arial"/>
      <family val="2"/>
    </font>
    <font>
      <b/>
      <sz val="18"/>
      <name val="Arial"/>
      <family val="2"/>
    </font>
    <font>
      <b/>
      <u/>
      <sz val="2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 tint="4.9989318521683403E-2"/>
      <name val="Arial"/>
      <family val="2"/>
    </font>
    <font>
      <b/>
      <u/>
      <sz val="16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B4C6E7"/>
      </patternFill>
    </fill>
    <fill>
      <patternFill patternType="solid">
        <fgColor theme="0" tint="-4.9989318521683403E-2"/>
        <bgColor rgb="FFBFBFBF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44" fontId="4" fillId="0" borderId="0" applyFont="0" applyFill="0" applyBorder="0" applyAlignment="0" applyProtection="0"/>
    <xf numFmtId="0" fontId="12" fillId="0" borderId="0"/>
    <xf numFmtId="44" fontId="15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5" fillId="2" borderId="0" xfId="0" applyFont="1" applyFill="1" applyAlignment="1">
      <alignment horizontal="center" vertical="center"/>
    </xf>
    <xf numFmtId="0" fontId="5" fillId="2" borderId="0" xfId="0" applyNumberFormat="1" applyFont="1" applyFill="1" applyAlignment="1">
      <alignment horizontal="center" vertical="center"/>
    </xf>
    <xf numFmtId="44" fontId="5" fillId="2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horizontal="left"/>
    </xf>
    <xf numFmtId="0" fontId="0" fillId="4" borderId="0" xfId="0" applyNumberFormat="1" applyFill="1"/>
    <xf numFmtId="0" fontId="0" fillId="4" borderId="0" xfId="0" applyFill="1" applyAlignment="1">
      <alignment horizontal="center" vertical="center"/>
    </xf>
    <xf numFmtId="44" fontId="0" fillId="4" borderId="0" xfId="1" applyFont="1" applyFill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/>
    <xf numFmtId="0" fontId="9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horizontal="center"/>
    </xf>
    <xf numFmtId="0" fontId="6" fillId="3" borderId="2" xfId="0" applyFont="1" applyFill="1" applyBorder="1" applyAlignment="1"/>
    <xf numFmtId="0" fontId="5" fillId="5" borderId="0" xfId="2" applyFont="1" applyFill="1" applyBorder="1" applyAlignment="1">
      <alignment horizontal="center" vertical="center"/>
    </xf>
    <xf numFmtId="164" fontId="5" fillId="5" borderId="0" xfId="2" applyNumberFormat="1" applyFont="1" applyFill="1" applyBorder="1" applyAlignment="1">
      <alignment horizontal="center" vertical="center"/>
    </xf>
    <xf numFmtId="0" fontId="14" fillId="5" borderId="0" xfId="2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" fontId="0" fillId="4" borderId="0" xfId="0" applyNumberFormat="1" applyFill="1"/>
    <xf numFmtId="0" fontId="16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2" fontId="3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44" fontId="0" fillId="4" borderId="0" xfId="0" applyNumberFormat="1" applyFill="1"/>
    <xf numFmtId="44" fontId="3" fillId="6" borderId="1" xfId="0" applyNumberFormat="1" applyFont="1" applyFill="1" applyBorder="1" applyAlignment="1">
      <alignment horizontal="center" vertical="center"/>
    </xf>
    <xf numFmtId="44" fontId="0" fillId="4" borderId="0" xfId="1" applyFont="1" applyFill="1"/>
    <xf numFmtId="0" fontId="7" fillId="3" borderId="3" xfId="0" applyFont="1" applyFill="1" applyBorder="1" applyAlignment="1">
      <alignment horizontal="left" vertical="center"/>
    </xf>
    <xf numFmtId="44" fontId="7" fillId="3" borderId="3" xfId="1" applyFont="1" applyFill="1" applyBorder="1" applyAlignment="1">
      <alignment horizontal="left" vertical="center"/>
    </xf>
    <xf numFmtId="0" fontId="3" fillId="7" borderId="4" xfId="2" applyFont="1" applyFill="1" applyBorder="1" applyAlignment="1">
      <alignment horizontal="center" vertical="center"/>
    </xf>
    <xf numFmtId="164" fontId="3" fillId="7" borderId="4" xfId="2" applyNumberFormat="1" applyFont="1" applyFill="1" applyBorder="1" applyAlignment="1">
      <alignment horizontal="center" vertical="center"/>
    </xf>
    <xf numFmtId="2" fontId="3" fillId="8" borderId="4" xfId="2" applyNumberFormat="1" applyFont="1" applyFill="1" applyBorder="1" applyAlignment="1">
      <alignment horizontal="center" vertical="center"/>
    </xf>
    <xf numFmtId="44" fontId="3" fillId="8" borderId="4" xfId="2" applyNumberFormat="1" applyFont="1" applyFill="1" applyBorder="1" applyAlignment="1">
      <alignment horizontal="center" vertical="center"/>
    </xf>
    <xf numFmtId="164" fontId="13" fillId="9" borderId="4" xfId="2" applyNumberFormat="1" applyFont="1" applyFill="1" applyBorder="1"/>
    <xf numFmtId="0" fontId="18" fillId="4" borderId="0" xfId="0" applyFont="1" applyFill="1"/>
    <xf numFmtId="0" fontId="19" fillId="4" borderId="0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/>
    </xf>
    <xf numFmtId="0" fontId="7" fillId="3" borderId="3" xfId="1" applyNumberFormat="1" applyFont="1" applyFill="1" applyBorder="1" applyAlignment="1">
      <alignment horizontal="left" vertical="center"/>
    </xf>
    <xf numFmtId="164" fontId="13" fillId="9" borderId="5" xfId="2" applyNumberFormat="1" applyFont="1" applyFill="1" applyBorder="1" applyAlignment="1">
      <alignment horizontal="center" vertical="center"/>
    </xf>
    <xf numFmtId="0" fontId="7" fillId="3" borderId="3" xfId="0" applyNumberFormat="1" applyFont="1" applyFill="1" applyBorder="1" applyAlignment="1">
      <alignment horizontal="left" vertical="center"/>
    </xf>
    <xf numFmtId="44" fontId="7" fillId="3" borderId="3" xfId="0" applyNumberFormat="1" applyFont="1" applyFill="1" applyBorder="1" applyAlignment="1">
      <alignment horizontal="left" vertical="center"/>
    </xf>
    <xf numFmtId="14" fontId="3" fillId="6" borderId="1" xfId="0" applyNumberFormat="1" applyFont="1" applyFill="1" applyBorder="1" applyAlignment="1">
      <alignment horizontal="center" vertical="center"/>
    </xf>
    <xf numFmtId="44" fontId="3" fillId="6" borderId="1" xfId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left"/>
    </xf>
    <xf numFmtId="0" fontId="7" fillId="3" borderId="3" xfId="0" applyNumberFormat="1" applyFont="1" applyFill="1" applyBorder="1" applyAlignment="1">
      <alignment horizontal="left"/>
    </xf>
    <xf numFmtId="0" fontId="3" fillId="4" borderId="0" xfId="0" applyFont="1" applyFill="1"/>
    <xf numFmtId="44" fontId="7" fillId="3" borderId="3" xfId="1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14" fontId="7" fillId="3" borderId="1" xfId="1" applyNumberFormat="1" applyFont="1" applyFill="1" applyBorder="1" applyAlignment="1">
      <alignment horizontal="left"/>
    </xf>
    <xf numFmtId="44" fontId="7" fillId="3" borderId="1" xfId="1" applyFont="1" applyFill="1" applyBorder="1" applyAlignment="1">
      <alignment horizontal="left"/>
    </xf>
    <xf numFmtId="0" fontId="7" fillId="3" borderId="1" xfId="0" applyNumberFormat="1" applyFont="1" applyFill="1" applyBorder="1" applyAlignment="1">
      <alignment horizontal="left"/>
    </xf>
    <xf numFmtId="0" fontId="21" fillId="3" borderId="3" xfId="4" applyNumberFormat="1" applyFill="1" applyBorder="1" applyAlignment="1">
      <alignment horizontal="left"/>
    </xf>
    <xf numFmtId="0" fontId="21" fillId="3" borderId="3" xfId="4" applyFill="1" applyBorder="1" applyAlignment="1">
      <alignment horizontal="left"/>
    </xf>
    <xf numFmtId="0" fontId="0" fillId="4" borderId="0" xfId="0" applyFill="1" applyAlignment="1">
      <alignment horizontal="left"/>
    </xf>
    <xf numFmtId="0" fontId="11" fillId="4" borderId="0" xfId="0" applyFont="1" applyFill="1" applyAlignment="1">
      <alignment horizontal="left"/>
    </xf>
    <xf numFmtId="0" fontId="5" fillId="2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center"/>
    </xf>
    <xf numFmtId="0" fontId="3" fillId="6" borderId="1" xfId="0" applyFont="1" applyFill="1" applyBorder="1"/>
    <xf numFmtId="0" fontId="0" fillId="10" borderId="1" xfId="0" applyFill="1" applyBorder="1" applyAlignment="1">
      <alignment horizontal="center" vertical="center"/>
    </xf>
    <xf numFmtId="44" fontId="0" fillId="10" borderId="1" xfId="1" applyFont="1" applyFill="1" applyBorder="1" applyAlignment="1">
      <alignment horizontal="center" vertical="center"/>
    </xf>
    <xf numFmtId="2" fontId="13" fillId="9" borderId="5" xfId="2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7" fillId="11" borderId="1" xfId="0" applyFont="1" applyFill="1" applyBorder="1" applyAlignment="1">
      <alignment horizontal="left"/>
    </xf>
    <xf numFmtId="0" fontId="7" fillId="11" borderId="1" xfId="0" applyFont="1" applyFill="1" applyBorder="1" applyAlignment="1">
      <alignment horizontal="left" vertical="center"/>
    </xf>
    <xf numFmtId="0" fontId="7" fillId="11" borderId="1" xfId="1" applyNumberFormat="1" applyFont="1" applyFill="1" applyBorder="1" applyAlignment="1">
      <alignment horizontal="left" vertical="center"/>
    </xf>
    <xf numFmtId="0" fontId="7" fillId="11" borderId="1" xfId="0" applyNumberFormat="1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center" vertical="center"/>
    </xf>
    <xf numFmtId="0" fontId="24" fillId="4" borderId="0" xfId="0" applyFont="1" applyFill="1"/>
    <xf numFmtId="0" fontId="6" fillId="1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4" fontId="0" fillId="0" borderId="0" xfId="0" applyNumberFormat="1"/>
    <xf numFmtId="0" fontId="26" fillId="4" borderId="0" xfId="0" applyFont="1" applyFill="1"/>
    <xf numFmtId="0" fontId="0" fillId="0" borderId="0" xfId="0" applyAlignment="1">
      <alignment horizontal="left" indent="2"/>
    </xf>
    <xf numFmtId="2" fontId="0" fillId="0" borderId="0" xfId="0" applyNumberFormat="1"/>
    <xf numFmtId="0" fontId="27" fillId="4" borderId="0" xfId="0" applyFont="1" applyFill="1" applyAlignment="1">
      <alignment vertical="center"/>
    </xf>
  </cellXfs>
  <cellStyles count="5">
    <cellStyle name="Hiperlink" xfId="4" builtinId="8"/>
    <cellStyle name="Moeda" xfId="1" builtinId="4"/>
    <cellStyle name="Moeda 2" xfId="3" xr:uid="{00000000-0005-0000-0000-000002000000}"/>
    <cellStyle name="Normal" xfId="0" builtinId="0"/>
    <cellStyle name="Normal 2" xfId="2" xr:uid="{00000000-0005-0000-0000-000004000000}"/>
  </cellStyles>
  <dxfs count="11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- Copia.xlsm]Planilha1!Tabela dinâmica4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do tipo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Planilha1!$B$5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Planilha1!$A$6:$A$15</c:f>
              <c:multiLvlStrCache>
                <c:ptCount val="8"/>
                <c:lvl>
                  <c:pt idx="0">
                    <c:v>Bermuda Nike Flex Short Woven</c:v>
                  </c:pt>
                  <c:pt idx="1">
                    <c:v>Calçao Nike Dry-fit Academy</c:v>
                  </c:pt>
                  <c:pt idx="2">
                    <c:v>Mountain Bike Caloi 29 - Aro 29</c:v>
                  </c:pt>
                  <c:pt idx="3">
                    <c:v>Mountain Bike Caloi Vulcan - Aro 29</c:v>
                  </c:pt>
                  <c:pt idx="4">
                    <c:v>Tenis Adidas NMD_R1</c:v>
                  </c:pt>
                  <c:pt idx="5">
                    <c:v>Tenis Nike Air</c:v>
                  </c:pt>
                  <c:pt idx="6">
                    <c:v>Tenis Nike Revolution 5</c:v>
                  </c:pt>
                  <c:pt idx="7">
                    <c:v>Tenis Nike SB Check</c:v>
                  </c:pt>
                </c:lvl>
                <c:lvl>
                  <c:pt idx="0">
                    <c:v>Geral</c:v>
                  </c:pt>
                </c:lvl>
              </c:multiLvlStrCache>
            </c:multiLvlStrRef>
          </c:cat>
          <c:val>
            <c:numRef>
              <c:f>Planilha1!$B$6:$B$15</c:f>
              <c:numCache>
                <c:formatCode>General</c:formatCode>
                <c:ptCount val="8"/>
                <c:pt idx="0">
                  <c:v>24</c:v>
                </c:pt>
                <c:pt idx="1">
                  <c:v>24</c:v>
                </c:pt>
                <c:pt idx="2">
                  <c:v>16</c:v>
                </c:pt>
                <c:pt idx="3">
                  <c:v>16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B-428E-9CAA-8CB7F99C1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26669039"/>
        <c:axId val="1926671951"/>
      </c:barChart>
      <c:catAx>
        <c:axId val="1926669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6671951"/>
        <c:crosses val="autoZero"/>
        <c:auto val="1"/>
        <c:lblAlgn val="ctr"/>
        <c:lblOffset val="100"/>
        <c:noMultiLvlLbl val="0"/>
      </c:catAx>
      <c:valAx>
        <c:axId val="192667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6669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- Copia.xlsm]Planilha2!Tabela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Valor total de Clientes por 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Planilha2!$B$5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Planilha2!$A$6:$A$60</c:f>
              <c:multiLvlStrCache>
                <c:ptCount val="50"/>
                <c:lvl>
                  <c:pt idx="0">
                    <c:v>Ana Carla</c:v>
                  </c:pt>
                  <c:pt idx="1">
                    <c:v>Ana Maria</c:v>
                  </c:pt>
                  <c:pt idx="2">
                    <c:v>Bruna Oliveira</c:v>
                  </c:pt>
                  <c:pt idx="3">
                    <c:v>Larissa Souza</c:v>
                  </c:pt>
                  <c:pt idx="4">
                    <c:v>Leonardo Freire</c:v>
                  </c:pt>
                  <c:pt idx="5">
                    <c:v>Leticia Manu</c:v>
                  </c:pt>
                  <c:pt idx="6">
                    <c:v>Mateus Ragne</c:v>
                  </c:pt>
                  <c:pt idx="7">
                    <c:v>Mateus Yan</c:v>
                  </c:pt>
                  <c:pt idx="8">
                    <c:v>Pedro Henrique</c:v>
                  </c:pt>
                  <c:pt idx="9">
                    <c:v>João Pedro</c:v>
                  </c:pt>
                  <c:pt idx="10">
                    <c:v>Lourdes Souza</c:v>
                  </c:pt>
                  <c:pt idx="11">
                    <c:v>Sara Neves</c:v>
                  </c:pt>
                  <c:pt idx="12">
                    <c:v>Amanda Flores</c:v>
                  </c:pt>
                  <c:pt idx="13">
                    <c:v>Amanda Peres</c:v>
                  </c:pt>
                  <c:pt idx="14">
                    <c:v>Gabriel Lanza</c:v>
                  </c:pt>
                  <c:pt idx="15">
                    <c:v>Júlia Matias</c:v>
                  </c:pt>
                  <c:pt idx="16">
                    <c:v>Luiz Carlos</c:v>
                  </c:pt>
                  <c:pt idx="17">
                    <c:v>Roberto Mendes</c:v>
                  </c:pt>
                  <c:pt idx="18">
                    <c:v>Roberto Oliveira</c:v>
                  </c:pt>
                  <c:pt idx="19">
                    <c:v>Alice Pontes</c:v>
                  </c:pt>
                  <c:pt idx="20">
                    <c:v>Anderson Silva</c:v>
                  </c:pt>
                  <c:pt idx="21">
                    <c:v>Arthur Urtigo</c:v>
                  </c:pt>
                  <c:pt idx="22">
                    <c:v>Bernardo Santo</c:v>
                  </c:pt>
                  <c:pt idx="23">
                    <c:v>Davi Teres</c:v>
                  </c:pt>
                  <c:pt idx="24">
                    <c:v>Felipe Moraes</c:v>
                  </c:pt>
                  <c:pt idx="25">
                    <c:v>Gabriel Caval</c:v>
                  </c:pt>
                  <c:pt idx="26">
                    <c:v>Gilberto Oliveira</c:v>
                  </c:pt>
                  <c:pt idx="27">
                    <c:v>Heitor Kuller</c:v>
                  </c:pt>
                  <c:pt idx="28">
                    <c:v>Hellen Maia</c:v>
                  </c:pt>
                  <c:pt idx="29">
                    <c:v>Igor Pedro</c:v>
                  </c:pt>
                  <c:pt idx="30">
                    <c:v>Isabela Pereira</c:v>
                  </c:pt>
                  <c:pt idx="31">
                    <c:v>João Lucas</c:v>
                  </c:pt>
                  <c:pt idx="32">
                    <c:v>João Vitor</c:v>
                  </c:pt>
                  <c:pt idx="33">
                    <c:v>Junior Azevedo</c:v>
                  </c:pt>
                  <c:pt idx="34">
                    <c:v>Junior Leite</c:v>
                  </c:pt>
                  <c:pt idx="35">
                    <c:v>Lívia Carol</c:v>
                  </c:pt>
                  <c:pt idx="36">
                    <c:v>Luana Pereira</c:v>
                  </c:pt>
                  <c:pt idx="37">
                    <c:v>Lucca Luiz</c:v>
                  </c:pt>
                  <c:pt idx="38">
                    <c:v>Luciana Silva</c:v>
                  </c:pt>
                  <c:pt idx="39">
                    <c:v>Manuela Rita</c:v>
                  </c:pt>
                  <c:pt idx="40">
                    <c:v>Maria Maia</c:v>
                  </c:pt>
                  <c:pt idx="41">
                    <c:v>Matheus Enbu</c:v>
                  </c:pt>
                  <c:pt idx="42">
                    <c:v>Miguel Salmão</c:v>
                  </c:pt>
                  <c:pt idx="43">
                    <c:v>Pedro Roberto</c:v>
                  </c:pt>
                  <c:pt idx="44">
                    <c:v>Pedro Silva</c:v>
                  </c:pt>
                  <c:pt idx="45">
                    <c:v>Rodrigo Souza</c:v>
                  </c:pt>
                  <c:pt idx="46">
                    <c:v>Ryan Soares</c:v>
                  </c:pt>
                  <c:pt idx="47">
                    <c:v>Samira Sanches</c:v>
                  </c:pt>
                  <c:pt idx="48">
                    <c:v>Sofia Pinto</c:v>
                  </c:pt>
                  <c:pt idx="49">
                    <c:v>Teles Mendes</c:v>
                  </c:pt>
                </c:lvl>
                <c:lvl>
                  <c:pt idx="0">
                    <c:v>Alv.Machado</c:v>
                  </c:pt>
                  <c:pt idx="9">
                    <c:v>Martinopolis</c:v>
                  </c:pt>
                  <c:pt idx="12">
                    <c:v>P. Bernardes </c:v>
                  </c:pt>
                  <c:pt idx="19">
                    <c:v>P. Prudente</c:v>
                  </c:pt>
                </c:lvl>
              </c:multiLvlStrCache>
            </c:multiLvlStrRef>
          </c:cat>
          <c:val>
            <c:numRef>
              <c:f>Planilha2!$B$6:$B$60</c:f>
              <c:numCache>
                <c:formatCode>_("R$"* #,##0.00_);_("R$"* \(#,##0.00\);_("R$"* "-"??_);_(@_)</c:formatCode>
                <c:ptCount val="50"/>
                <c:pt idx="0">
                  <c:v>10965</c:v>
                </c:pt>
                <c:pt idx="1">
                  <c:v>7840</c:v>
                </c:pt>
                <c:pt idx="2">
                  <c:v>2070</c:v>
                </c:pt>
                <c:pt idx="3">
                  <c:v>10490</c:v>
                </c:pt>
                <c:pt idx="4">
                  <c:v>3387</c:v>
                </c:pt>
                <c:pt idx="5">
                  <c:v>5795</c:v>
                </c:pt>
                <c:pt idx="6">
                  <c:v>9450</c:v>
                </c:pt>
                <c:pt idx="7">
                  <c:v>3365</c:v>
                </c:pt>
                <c:pt idx="8">
                  <c:v>9279</c:v>
                </c:pt>
                <c:pt idx="9">
                  <c:v>3741</c:v>
                </c:pt>
                <c:pt idx="10">
                  <c:v>5010</c:v>
                </c:pt>
                <c:pt idx="11">
                  <c:v>4102</c:v>
                </c:pt>
                <c:pt idx="12">
                  <c:v>3550</c:v>
                </c:pt>
                <c:pt idx="13">
                  <c:v>12580</c:v>
                </c:pt>
                <c:pt idx="14">
                  <c:v>7418</c:v>
                </c:pt>
                <c:pt idx="15">
                  <c:v>4510</c:v>
                </c:pt>
                <c:pt idx="16">
                  <c:v>6838</c:v>
                </c:pt>
                <c:pt idx="17">
                  <c:v>25118</c:v>
                </c:pt>
                <c:pt idx="18">
                  <c:v>9760</c:v>
                </c:pt>
                <c:pt idx="19">
                  <c:v>7425</c:v>
                </c:pt>
                <c:pt idx="20">
                  <c:v>3080</c:v>
                </c:pt>
                <c:pt idx="21">
                  <c:v>2878</c:v>
                </c:pt>
                <c:pt idx="22">
                  <c:v>7740</c:v>
                </c:pt>
                <c:pt idx="23">
                  <c:v>9630</c:v>
                </c:pt>
                <c:pt idx="24">
                  <c:v>15310</c:v>
                </c:pt>
                <c:pt idx="25">
                  <c:v>11961</c:v>
                </c:pt>
                <c:pt idx="26">
                  <c:v>2505</c:v>
                </c:pt>
                <c:pt idx="27">
                  <c:v>12046</c:v>
                </c:pt>
                <c:pt idx="28">
                  <c:v>14098</c:v>
                </c:pt>
                <c:pt idx="29">
                  <c:v>4670</c:v>
                </c:pt>
                <c:pt idx="30">
                  <c:v>2987</c:v>
                </c:pt>
                <c:pt idx="31">
                  <c:v>7871</c:v>
                </c:pt>
                <c:pt idx="32">
                  <c:v>8860</c:v>
                </c:pt>
                <c:pt idx="33">
                  <c:v>4932</c:v>
                </c:pt>
                <c:pt idx="34">
                  <c:v>7865</c:v>
                </c:pt>
                <c:pt idx="35">
                  <c:v>4870</c:v>
                </c:pt>
                <c:pt idx="36">
                  <c:v>8695</c:v>
                </c:pt>
                <c:pt idx="37">
                  <c:v>4850</c:v>
                </c:pt>
                <c:pt idx="38">
                  <c:v>1702</c:v>
                </c:pt>
                <c:pt idx="39">
                  <c:v>6885</c:v>
                </c:pt>
                <c:pt idx="40">
                  <c:v>8310</c:v>
                </c:pt>
                <c:pt idx="41">
                  <c:v>9393</c:v>
                </c:pt>
                <c:pt idx="42">
                  <c:v>18831</c:v>
                </c:pt>
                <c:pt idx="43">
                  <c:v>3652</c:v>
                </c:pt>
                <c:pt idx="44">
                  <c:v>6270</c:v>
                </c:pt>
                <c:pt idx="45">
                  <c:v>6445</c:v>
                </c:pt>
                <c:pt idx="46">
                  <c:v>2862</c:v>
                </c:pt>
                <c:pt idx="47">
                  <c:v>7360</c:v>
                </c:pt>
                <c:pt idx="48">
                  <c:v>19872</c:v>
                </c:pt>
                <c:pt idx="49">
                  <c:v>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B-4AB2-B61E-8CDDEC337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20867887"/>
        <c:axId val="1920866223"/>
      </c:barChart>
      <c:catAx>
        <c:axId val="1920867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866223"/>
        <c:crosses val="autoZero"/>
        <c:auto val="1"/>
        <c:lblAlgn val="ctr"/>
        <c:lblOffset val="100"/>
        <c:noMultiLvlLbl val="0"/>
      </c:catAx>
      <c:valAx>
        <c:axId val="1920866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86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- Copia.xlsm]Planilha3!Tabela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Vendidos de Funcionários por 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Planilha3!$B$6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Planilha3!$A$7:$A$203</c:f>
              <c:multiLvlStrCache>
                <c:ptCount val="183"/>
                <c:lvl>
                  <c:pt idx="0">
                    <c:v>Anilha 15 kg</c:v>
                  </c:pt>
                  <c:pt idx="1">
                    <c:v>Anilha 25 kg</c:v>
                  </c:pt>
                  <c:pt idx="2">
                    <c:v>Anilha 5 kg</c:v>
                  </c:pt>
                  <c:pt idx="3">
                    <c:v>Bermuda Nike Dry Trophy</c:v>
                  </c:pt>
                  <c:pt idx="4">
                    <c:v>Bermuda Puma Essentials Sweet</c:v>
                  </c:pt>
                  <c:pt idx="5">
                    <c:v>Bola Jabulani Copa Fifa 2010</c:v>
                  </c:pt>
                  <c:pt idx="6">
                    <c:v>Calçao Nike Dry-fit Academy</c:v>
                  </c:pt>
                  <c:pt idx="7">
                    <c:v>Camiseta Puma Essentials</c:v>
                  </c:pt>
                  <c:pt idx="8">
                    <c:v>Mountain Bike Caloi 29 - Aro 29</c:v>
                  </c:pt>
                  <c:pt idx="9">
                    <c:v>Mountain Bike Caloi Vulcan - Aro 29</c:v>
                  </c:pt>
                  <c:pt idx="10">
                    <c:v>Tenis Adidas Falcon </c:v>
                  </c:pt>
                  <c:pt idx="11">
                    <c:v>Tenis Adidas NMD_R1</c:v>
                  </c:pt>
                  <c:pt idx="12">
                    <c:v>Tenis Adidas Ventice</c:v>
                  </c:pt>
                  <c:pt idx="13">
                    <c:v>Tenis New Balace 27</c:v>
                  </c:pt>
                  <c:pt idx="14">
                    <c:v>Tenis New Balance 247</c:v>
                  </c:pt>
                  <c:pt idx="15">
                    <c:v>Tenis New Balance 500</c:v>
                  </c:pt>
                  <c:pt idx="16">
                    <c:v>Tênis New Balance Fresh Foam 1080v10</c:v>
                  </c:pt>
                  <c:pt idx="17">
                    <c:v>Tenis Nike Air</c:v>
                  </c:pt>
                  <c:pt idx="18">
                    <c:v>Tenis Nike RENEW In-Season TR-9</c:v>
                  </c:pt>
                  <c:pt idx="19">
                    <c:v>Tenis Nike Revolution 5</c:v>
                  </c:pt>
                  <c:pt idx="20">
                    <c:v>Tenis Nike SB Check</c:v>
                  </c:pt>
                  <c:pt idx="21">
                    <c:v>Anilha 15 kg</c:v>
                  </c:pt>
                  <c:pt idx="22">
                    <c:v>Anilha 25 kg</c:v>
                  </c:pt>
                  <c:pt idx="23">
                    <c:v>Anilha 5 kg</c:v>
                  </c:pt>
                  <c:pt idx="24">
                    <c:v>Bermuda Nike Dry Trophy</c:v>
                  </c:pt>
                  <c:pt idx="25">
                    <c:v>Bermuda Nike Flex Short Woven</c:v>
                  </c:pt>
                  <c:pt idx="26">
                    <c:v>Bermuda Puma Essentials Sweet</c:v>
                  </c:pt>
                  <c:pt idx="27">
                    <c:v>Bola Jabulani Copa Fifa 2010</c:v>
                  </c:pt>
                  <c:pt idx="28">
                    <c:v>Calçao Nike Dry-fit Academy</c:v>
                  </c:pt>
                  <c:pt idx="29">
                    <c:v>Camiseta Puma Essentials</c:v>
                  </c:pt>
                  <c:pt idx="30">
                    <c:v>Mountain Bike Caloi 29 - Aro 29</c:v>
                  </c:pt>
                  <c:pt idx="31">
                    <c:v>Mountain Bike Caloi Vulcan - Aro 29</c:v>
                  </c:pt>
                  <c:pt idx="32">
                    <c:v>Tenis Adidas Falcon </c:v>
                  </c:pt>
                  <c:pt idx="33">
                    <c:v>Tenis Adidas NMD_R1</c:v>
                  </c:pt>
                  <c:pt idx="34">
                    <c:v>Tenis Adidas Ventice</c:v>
                  </c:pt>
                  <c:pt idx="35">
                    <c:v>Tenis New Balace 27</c:v>
                  </c:pt>
                  <c:pt idx="36">
                    <c:v>Tenis New Balance 500</c:v>
                  </c:pt>
                  <c:pt idx="37">
                    <c:v>Tenis Nike Air</c:v>
                  </c:pt>
                  <c:pt idx="38">
                    <c:v>Tenis Nike RENEW In-Season TR-9</c:v>
                  </c:pt>
                  <c:pt idx="39">
                    <c:v>Tenis Nike Revolution 5</c:v>
                  </c:pt>
                  <c:pt idx="40">
                    <c:v>Tenis Nike SB Check</c:v>
                  </c:pt>
                  <c:pt idx="41">
                    <c:v>Anilha 15 kg</c:v>
                  </c:pt>
                  <c:pt idx="42">
                    <c:v>Anilha 25 kg</c:v>
                  </c:pt>
                  <c:pt idx="43">
                    <c:v>Anilha 5 kg</c:v>
                  </c:pt>
                  <c:pt idx="44">
                    <c:v>Bermuda Nike Dry Trophy</c:v>
                  </c:pt>
                  <c:pt idx="45">
                    <c:v>Bermuda Nike Flex Short Woven</c:v>
                  </c:pt>
                  <c:pt idx="46">
                    <c:v>Bermuda Puma Essentials Sweet</c:v>
                  </c:pt>
                  <c:pt idx="47">
                    <c:v>Calçao Nike Dry-fit Academy</c:v>
                  </c:pt>
                  <c:pt idx="48">
                    <c:v>Camiseta Puma Essentials</c:v>
                  </c:pt>
                  <c:pt idx="49">
                    <c:v>Mountain Bike Caloi 29 - Aro 29</c:v>
                  </c:pt>
                  <c:pt idx="50">
                    <c:v>Tenis Adidas Falcon </c:v>
                  </c:pt>
                  <c:pt idx="51">
                    <c:v>Tenis Adidas NMD_R1</c:v>
                  </c:pt>
                  <c:pt idx="52">
                    <c:v>Tenis Adidas Ventice</c:v>
                  </c:pt>
                  <c:pt idx="53">
                    <c:v>Tenis New Balace 27</c:v>
                  </c:pt>
                  <c:pt idx="54">
                    <c:v>Tenis New Balance 247</c:v>
                  </c:pt>
                  <c:pt idx="55">
                    <c:v>Tenis New Balance 500</c:v>
                  </c:pt>
                  <c:pt idx="56">
                    <c:v>Tênis New Balance Fresh Foam 1080v10</c:v>
                  </c:pt>
                  <c:pt idx="57">
                    <c:v>Tenis Nike Air</c:v>
                  </c:pt>
                  <c:pt idx="58">
                    <c:v>Tenis Nike RENEW In-Season TR-9</c:v>
                  </c:pt>
                  <c:pt idx="59">
                    <c:v>Tenis Nike Revolution 5</c:v>
                  </c:pt>
                  <c:pt idx="60">
                    <c:v>Tenis Nike SB Check</c:v>
                  </c:pt>
                  <c:pt idx="61">
                    <c:v>Anilha 15 kg</c:v>
                  </c:pt>
                  <c:pt idx="62">
                    <c:v>Anilha 25 kg</c:v>
                  </c:pt>
                  <c:pt idx="63">
                    <c:v>Bermuda Nike Dry Trophy</c:v>
                  </c:pt>
                  <c:pt idx="64">
                    <c:v>Bermuda Nike Flex Short Woven</c:v>
                  </c:pt>
                  <c:pt idx="65">
                    <c:v>Bermuda Puma Essentials Sweet</c:v>
                  </c:pt>
                  <c:pt idx="66">
                    <c:v>Bola Jabulani Copa Fifa 2010</c:v>
                  </c:pt>
                  <c:pt idx="67">
                    <c:v>Calçao Nike Dry-fit Academy</c:v>
                  </c:pt>
                  <c:pt idx="68">
                    <c:v>Camiseta Puma Essentials</c:v>
                  </c:pt>
                  <c:pt idx="69">
                    <c:v>Mountain Bike Caloi 29 - Aro 29</c:v>
                  </c:pt>
                  <c:pt idx="70">
                    <c:v>Tenis Adidas Falcon </c:v>
                  </c:pt>
                  <c:pt idx="71">
                    <c:v>Tenis Adidas NMD_R1</c:v>
                  </c:pt>
                  <c:pt idx="72">
                    <c:v>Tenis Adidas Ventice</c:v>
                  </c:pt>
                  <c:pt idx="73">
                    <c:v>Tenis New Balace 27</c:v>
                  </c:pt>
                  <c:pt idx="74">
                    <c:v>Tenis New Balance 247</c:v>
                  </c:pt>
                  <c:pt idx="75">
                    <c:v>Tênis New Balance Fresh Foam 1080v10</c:v>
                  </c:pt>
                  <c:pt idx="76">
                    <c:v>Tenis Nike Air</c:v>
                  </c:pt>
                  <c:pt idx="77">
                    <c:v>Tenis Nike RENEW In-Season TR-9</c:v>
                  </c:pt>
                  <c:pt idx="78">
                    <c:v>Tenis Nike Revolution 5</c:v>
                  </c:pt>
                  <c:pt idx="79">
                    <c:v>Tenis Nike SB Check</c:v>
                  </c:pt>
                  <c:pt idx="80">
                    <c:v>Anilha 15 kg</c:v>
                  </c:pt>
                  <c:pt idx="81">
                    <c:v>Anilha 25 kg</c:v>
                  </c:pt>
                  <c:pt idx="82">
                    <c:v>Anilha 5 kg</c:v>
                  </c:pt>
                  <c:pt idx="83">
                    <c:v>Bermuda Nike Dry Trophy</c:v>
                  </c:pt>
                  <c:pt idx="84">
                    <c:v>Bermuda Nike Flex Short Woven</c:v>
                  </c:pt>
                  <c:pt idx="85">
                    <c:v>Bermuda Puma Essentials Sweet</c:v>
                  </c:pt>
                  <c:pt idx="86">
                    <c:v>Bola Jabulani Copa Fifa 2010</c:v>
                  </c:pt>
                  <c:pt idx="87">
                    <c:v>Camiseta Puma Essentials</c:v>
                  </c:pt>
                  <c:pt idx="88">
                    <c:v>Mountain Bike Caloi 29 - Aro 29</c:v>
                  </c:pt>
                  <c:pt idx="89">
                    <c:v>Tenis Adidas Falcon </c:v>
                  </c:pt>
                  <c:pt idx="90">
                    <c:v>Tenis Adidas NMD_R1</c:v>
                  </c:pt>
                  <c:pt idx="91">
                    <c:v>Tenis Adidas Ventice</c:v>
                  </c:pt>
                  <c:pt idx="92">
                    <c:v>Tenis New Balace 27</c:v>
                  </c:pt>
                  <c:pt idx="93">
                    <c:v>Tenis New Balance 247</c:v>
                  </c:pt>
                  <c:pt idx="94">
                    <c:v>Tenis New Balance 500</c:v>
                  </c:pt>
                  <c:pt idx="95">
                    <c:v>Tênis New Balance Fresh Foam 1080v10</c:v>
                  </c:pt>
                  <c:pt idx="96">
                    <c:v>Tenis Nike Air</c:v>
                  </c:pt>
                  <c:pt idx="97">
                    <c:v>Tenis Nike RENEW In-Season TR-9</c:v>
                  </c:pt>
                  <c:pt idx="98">
                    <c:v>Tenis Nike Revolution 5</c:v>
                  </c:pt>
                  <c:pt idx="99">
                    <c:v>Tenis Nike SB Check</c:v>
                  </c:pt>
                  <c:pt idx="100">
                    <c:v>Anilha 15 kg</c:v>
                  </c:pt>
                  <c:pt idx="101">
                    <c:v>Anilha 25 kg</c:v>
                  </c:pt>
                  <c:pt idx="102">
                    <c:v>Anilha 5 kg</c:v>
                  </c:pt>
                  <c:pt idx="103">
                    <c:v>Bermuda Nike Dry Trophy</c:v>
                  </c:pt>
                  <c:pt idx="104">
                    <c:v>Bermuda Nike Flex Short Woven</c:v>
                  </c:pt>
                  <c:pt idx="105">
                    <c:v>Bermuda Puma Essentials Sweet</c:v>
                  </c:pt>
                  <c:pt idx="106">
                    <c:v>Bola Jabulani Copa Fifa 2010</c:v>
                  </c:pt>
                  <c:pt idx="107">
                    <c:v>Calçao Nike Dry-fit Academy</c:v>
                  </c:pt>
                  <c:pt idx="108">
                    <c:v>Camiseta Puma Essentials</c:v>
                  </c:pt>
                  <c:pt idx="109">
                    <c:v>Mountain Bike Caloi 29 - Aro 29</c:v>
                  </c:pt>
                  <c:pt idx="110">
                    <c:v>Tenis Adidas Falcon </c:v>
                  </c:pt>
                  <c:pt idx="111">
                    <c:v>Tenis Adidas NMD_R1</c:v>
                  </c:pt>
                  <c:pt idx="112">
                    <c:v>Tenis Adidas Ventice</c:v>
                  </c:pt>
                  <c:pt idx="113">
                    <c:v>Tenis New Balace 27</c:v>
                  </c:pt>
                  <c:pt idx="114">
                    <c:v>Tenis New Balance 247</c:v>
                  </c:pt>
                  <c:pt idx="115">
                    <c:v>Tenis New Balance 500</c:v>
                  </c:pt>
                  <c:pt idx="116">
                    <c:v>Tênis New Balance Fresh Foam 1080v10</c:v>
                  </c:pt>
                  <c:pt idx="117">
                    <c:v>Tenis Nike Air</c:v>
                  </c:pt>
                  <c:pt idx="118">
                    <c:v>Tenis Nike Revolution 5</c:v>
                  </c:pt>
                  <c:pt idx="119">
                    <c:v>Tenis Nike SB Check</c:v>
                  </c:pt>
                  <c:pt idx="120">
                    <c:v>Anilha 15 kg</c:v>
                  </c:pt>
                  <c:pt idx="121">
                    <c:v>Anilha 25 kg</c:v>
                  </c:pt>
                  <c:pt idx="122">
                    <c:v>Anilha 5 kg</c:v>
                  </c:pt>
                  <c:pt idx="123">
                    <c:v>Bermuda Nike Dry Trophy</c:v>
                  </c:pt>
                  <c:pt idx="124">
                    <c:v>Bermuda Nike Flex Short Woven</c:v>
                  </c:pt>
                  <c:pt idx="125">
                    <c:v>Bermuda Puma Essentials Sweet</c:v>
                  </c:pt>
                  <c:pt idx="126">
                    <c:v>Bola Jabulani Copa Fifa 2010</c:v>
                  </c:pt>
                  <c:pt idx="127">
                    <c:v>Calçao Nike Dry-fit Academy</c:v>
                  </c:pt>
                  <c:pt idx="128">
                    <c:v>Camiseta Puma Essentials</c:v>
                  </c:pt>
                  <c:pt idx="129">
                    <c:v>Mountain Bike Caloi 29 - Aro 29</c:v>
                  </c:pt>
                  <c:pt idx="130">
                    <c:v>Mountain Bike Caloi Vulcan - Aro 29</c:v>
                  </c:pt>
                  <c:pt idx="131">
                    <c:v>Tenis Adidas NMD_R1</c:v>
                  </c:pt>
                  <c:pt idx="132">
                    <c:v>Tenis Adidas Ventice</c:v>
                  </c:pt>
                  <c:pt idx="133">
                    <c:v>Tenis New Balace 27</c:v>
                  </c:pt>
                  <c:pt idx="134">
                    <c:v>Tenis New Balance 247</c:v>
                  </c:pt>
                  <c:pt idx="135">
                    <c:v>Tenis New Balance 500</c:v>
                  </c:pt>
                  <c:pt idx="136">
                    <c:v>Tênis New Balance Fresh Foam 1080v10</c:v>
                  </c:pt>
                  <c:pt idx="137">
                    <c:v>Tenis Nike Air</c:v>
                  </c:pt>
                  <c:pt idx="138">
                    <c:v>Tenis Nike RENEW In-Season TR-9</c:v>
                  </c:pt>
                  <c:pt idx="139">
                    <c:v>Tenis Nike Revolution 5</c:v>
                  </c:pt>
                  <c:pt idx="140">
                    <c:v>Tenis Nike SB Check</c:v>
                  </c:pt>
                  <c:pt idx="141">
                    <c:v>Anilha 15 kg</c:v>
                  </c:pt>
                  <c:pt idx="142">
                    <c:v>Anilha 25 kg</c:v>
                  </c:pt>
                  <c:pt idx="143">
                    <c:v>Anilha 5 kg</c:v>
                  </c:pt>
                  <c:pt idx="144">
                    <c:v>Bermuda Nike Dry Trophy</c:v>
                  </c:pt>
                  <c:pt idx="145">
                    <c:v>Bermuda Nike Flex Short Woven</c:v>
                  </c:pt>
                  <c:pt idx="146">
                    <c:v>Bermuda Puma Essentials Sweet</c:v>
                  </c:pt>
                  <c:pt idx="147">
                    <c:v>Bola Jabulani Copa Fifa 2010</c:v>
                  </c:pt>
                  <c:pt idx="148">
                    <c:v>Calçao Nike Dry-fit Academy</c:v>
                  </c:pt>
                  <c:pt idx="149">
                    <c:v>Camiseta Puma Essentials</c:v>
                  </c:pt>
                  <c:pt idx="150">
                    <c:v>Mountain Bike Caloi Vulcan - Aro 29</c:v>
                  </c:pt>
                  <c:pt idx="151">
                    <c:v>Tenis Adidas Falcon </c:v>
                  </c:pt>
                  <c:pt idx="152">
                    <c:v>Tenis Adidas Ventice</c:v>
                  </c:pt>
                  <c:pt idx="153">
                    <c:v>Tenis New Balace 27</c:v>
                  </c:pt>
                  <c:pt idx="154">
                    <c:v>Tenis New Balance 247</c:v>
                  </c:pt>
                  <c:pt idx="155">
                    <c:v>Tenis New Balance 500</c:v>
                  </c:pt>
                  <c:pt idx="156">
                    <c:v>Tênis New Balance Fresh Foam 1080v10</c:v>
                  </c:pt>
                  <c:pt idx="157">
                    <c:v>Tenis Nike Air</c:v>
                  </c:pt>
                  <c:pt idx="158">
                    <c:v>Tenis Nike RENEW In-Season TR-9</c:v>
                  </c:pt>
                  <c:pt idx="159">
                    <c:v>Tenis Nike Revolution 5</c:v>
                  </c:pt>
                  <c:pt idx="160">
                    <c:v>Tenis Nike SB Check</c:v>
                  </c:pt>
                  <c:pt idx="161">
                    <c:v>Anilha 15 kg</c:v>
                  </c:pt>
                  <c:pt idx="162">
                    <c:v>Anilha 25 kg</c:v>
                  </c:pt>
                  <c:pt idx="163">
                    <c:v>Anilha 5 kg</c:v>
                  </c:pt>
                  <c:pt idx="164">
                    <c:v>Bermuda Nike Dry Trophy</c:v>
                  </c:pt>
                  <c:pt idx="165">
                    <c:v>Bermuda Nike Flex Short Woven</c:v>
                  </c:pt>
                  <c:pt idx="166">
                    <c:v>Bermuda Puma Essentials Sweet</c:v>
                  </c:pt>
                  <c:pt idx="167">
                    <c:v>Bola Jabulani Copa Fifa 2010</c:v>
                  </c:pt>
                  <c:pt idx="168">
                    <c:v>Calçao Nike Dry-fit Academy</c:v>
                  </c:pt>
                  <c:pt idx="169">
                    <c:v>Camiseta Puma Essentials</c:v>
                  </c:pt>
                  <c:pt idx="170">
                    <c:v>Mountain Bike Caloi 29 - Aro 29</c:v>
                  </c:pt>
                  <c:pt idx="171">
                    <c:v>Mountain Bike Caloi Vulcan - Aro 29</c:v>
                  </c:pt>
                  <c:pt idx="172">
                    <c:v>Tenis Adidas Falcon </c:v>
                  </c:pt>
                  <c:pt idx="173">
                    <c:v>Tenis Adidas NMD_R1</c:v>
                  </c:pt>
                  <c:pt idx="174">
                    <c:v>Tenis Adidas Ventice</c:v>
                  </c:pt>
                  <c:pt idx="175">
                    <c:v>Tenis New Balace 27</c:v>
                  </c:pt>
                  <c:pt idx="176">
                    <c:v>Tenis New Balance 247</c:v>
                  </c:pt>
                  <c:pt idx="177">
                    <c:v>Tenis New Balance 500</c:v>
                  </c:pt>
                  <c:pt idx="178">
                    <c:v>Tênis New Balance Fresh Foam 1080v10</c:v>
                  </c:pt>
                  <c:pt idx="179">
                    <c:v>Tenis Nike Air</c:v>
                  </c:pt>
                  <c:pt idx="180">
                    <c:v>Tenis Nike RENEW In-Season TR-9</c:v>
                  </c:pt>
                  <c:pt idx="181">
                    <c:v>Tenis Nike Revolution 5</c:v>
                  </c:pt>
                  <c:pt idx="182">
                    <c:v>Tenis Nike SB Check</c:v>
                  </c:pt>
                </c:lvl>
                <c:lvl>
                  <c:pt idx="0">
                    <c:v>Felipe Ragne</c:v>
                  </c:pt>
                  <c:pt idx="21">
                    <c:v>Pedro Mendes</c:v>
                  </c:pt>
                  <c:pt idx="41">
                    <c:v>Sofia Teles</c:v>
                  </c:pt>
                  <c:pt idx="61">
                    <c:v>Gabriel Lanza</c:v>
                  </c:pt>
                  <c:pt idx="80">
                    <c:v>Alice Moreira</c:v>
                  </c:pt>
                  <c:pt idx="100">
                    <c:v>Júlia Peres</c:v>
                  </c:pt>
                  <c:pt idx="120">
                    <c:v>Lucca Junior</c:v>
                  </c:pt>
                  <c:pt idx="141">
                    <c:v>Mateus Azevedo</c:v>
                  </c:pt>
                  <c:pt idx="161">
                    <c:v>Miguel Souza</c:v>
                  </c:pt>
                </c:lvl>
                <c:lvl>
                  <c:pt idx="0">
                    <c:v>Alvares Machado</c:v>
                  </c:pt>
                  <c:pt idx="41">
                    <c:v>Presidente Bernades</c:v>
                  </c:pt>
                  <c:pt idx="61">
                    <c:v>Presidente Epitacio</c:v>
                  </c:pt>
                  <c:pt idx="80">
                    <c:v>Presidente Prudente</c:v>
                  </c:pt>
                </c:lvl>
              </c:multiLvlStrCache>
            </c:multiLvlStrRef>
          </c:cat>
          <c:val>
            <c:numRef>
              <c:f>Planilha3!$B$7:$B$203</c:f>
              <c:numCache>
                <c:formatCode>_("R$"* #,##0.00_);_("R$"* \(#,##0.00\);_("R$"* "-"??_);_(@_)</c:formatCode>
                <c:ptCount val="183"/>
                <c:pt idx="0">
                  <c:v>140</c:v>
                </c:pt>
                <c:pt idx="1">
                  <c:v>120</c:v>
                </c:pt>
                <c:pt idx="2">
                  <c:v>420</c:v>
                </c:pt>
                <c:pt idx="3">
                  <c:v>540</c:v>
                </c:pt>
                <c:pt idx="4">
                  <c:v>80</c:v>
                </c:pt>
                <c:pt idx="5">
                  <c:v>400</c:v>
                </c:pt>
                <c:pt idx="6">
                  <c:v>350</c:v>
                </c:pt>
                <c:pt idx="7">
                  <c:v>360</c:v>
                </c:pt>
                <c:pt idx="8">
                  <c:v>14000</c:v>
                </c:pt>
                <c:pt idx="9">
                  <c:v>6400</c:v>
                </c:pt>
                <c:pt idx="10">
                  <c:v>1190</c:v>
                </c:pt>
                <c:pt idx="11">
                  <c:v>6000</c:v>
                </c:pt>
                <c:pt idx="12">
                  <c:v>4400</c:v>
                </c:pt>
                <c:pt idx="13">
                  <c:v>300</c:v>
                </c:pt>
                <c:pt idx="14">
                  <c:v>1400</c:v>
                </c:pt>
                <c:pt idx="15">
                  <c:v>2000</c:v>
                </c:pt>
                <c:pt idx="16">
                  <c:v>4500</c:v>
                </c:pt>
                <c:pt idx="17">
                  <c:v>1000</c:v>
                </c:pt>
                <c:pt idx="18">
                  <c:v>1080</c:v>
                </c:pt>
                <c:pt idx="19">
                  <c:v>8000</c:v>
                </c:pt>
                <c:pt idx="20">
                  <c:v>1200</c:v>
                </c:pt>
                <c:pt idx="21">
                  <c:v>210</c:v>
                </c:pt>
                <c:pt idx="22">
                  <c:v>400</c:v>
                </c:pt>
                <c:pt idx="23">
                  <c:v>270</c:v>
                </c:pt>
                <c:pt idx="24">
                  <c:v>360</c:v>
                </c:pt>
                <c:pt idx="25">
                  <c:v>836</c:v>
                </c:pt>
                <c:pt idx="26">
                  <c:v>240</c:v>
                </c:pt>
                <c:pt idx="27">
                  <c:v>1000</c:v>
                </c:pt>
                <c:pt idx="28">
                  <c:v>350</c:v>
                </c:pt>
                <c:pt idx="29">
                  <c:v>180</c:v>
                </c:pt>
                <c:pt idx="30">
                  <c:v>5600</c:v>
                </c:pt>
                <c:pt idx="31">
                  <c:v>16000</c:v>
                </c:pt>
                <c:pt idx="32">
                  <c:v>1870</c:v>
                </c:pt>
                <c:pt idx="33">
                  <c:v>1200</c:v>
                </c:pt>
                <c:pt idx="34">
                  <c:v>2000</c:v>
                </c:pt>
                <c:pt idx="35">
                  <c:v>2100</c:v>
                </c:pt>
                <c:pt idx="36">
                  <c:v>6000</c:v>
                </c:pt>
                <c:pt idx="37">
                  <c:v>750</c:v>
                </c:pt>
                <c:pt idx="38">
                  <c:v>810</c:v>
                </c:pt>
                <c:pt idx="39">
                  <c:v>2400</c:v>
                </c:pt>
                <c:pt idx="40">
                  <c:v>2000</c:v>
                </c:pt>
                <c:pt idx="41">
                  <c:v>210</c:v>
                </c:pt>
                <c:pt idx="42">
                  <c:v>80</c:v>
                </c:pt>
                <c:pt idx="43">
                  <c:v>240</c:v>
                </c:pt>
                <c:pt idx="44">
                  <c:v>60</c:v>
                </c:pt>
                <c:pt idx="45">
                  <c:v>76</c:v>
                </c:pt>
                <c:pt idx="46">
                  <c:v>480</c:v>
                </c:pt>
                <c:pt idx="47">
                  <c:v>350</c:v>
                </c:pt>
                <c:pt idx="48">
                  <c:v>480</c:v>
                </c:pt>
                <c:pt idx="49">
                  <c:v>14000</c:v>
                </c:pt>
                <c:pt idx="50">
                  <c:v>1530</c:v>
                </c:pt>
                <c:pt idx="51">
                  <c:v>6000</c:v>
                </c:pt>
                <c:pt idx="52">
                  <c:v>800</c:v>
                </c:pt>
                <c:pt idx="53">
                  <c:v>1200</c:v>
                </c:pt>
                <c:pt idx="54">
                  <c:v>1400</c:v>
                </c:pt>
                <c:pt idx="55">
                  <c:v>1000</c:v>
                </c:pt>
                <c:pt idx="56">
                  <c:v>4500</c:v>
                </c:pt>
                <c:pt idx="57">
                  <c:v>3000</c:v>
                </c:pt>
                <c:pt idx="58">
                  <c:v>1080</c:v>
                </c:pt>
                <c:pt idx="59">
                  <c:v>1600</c:v>
                </c:pt>
                <c:pt idx="60">
                  <c:v>3600</c:v>
                </c:pt>
                <c:pt idx="61">
                  <c:v>245</c:v>
                </c:pt>
                <c:pt idx="62">
                  <c:v>480</c:v>
                </c:pt>
                <c:pt idx="63">
                  <c:v>60</c:v>
                </c:pt>
                <c:pt idx="64">
                  <c:v>456</c:v>
                </c:pt>
                <c:pt idx="65">
                  <c:v>160</c:v>
                </c:pt>
                <c:pt idx="66">
                  <c:v>600</c:v>
                </c:pt>
                <c:pt idx="67">
                  <c:v>70</c:v>
                </c:pt>
                <c:pt idx="68">
                  <c:v>600</c:v>
                </c:pt>
                <c:pt idx="69">
                  <c:v>8400</c:v>
                </c:pt>
                <c:pt idx="70">
                  <c:v>1020</c:v>
                </c:pt>
                <c:pt idx="71">
                  <c:v>4200</c:v>
                </c:pt>
                <c:pt idx="72">
                  <c:v>4000</c:v>
                </c:pt>
                <c:pt idx="73">
                  <c:v>1800</c:v>
                </c:pt>
                <c:pt idx="74">
                  <c:v>1050</c:v>
                </c:pt>
                <c:pt idx="75">
                  <c:v>9900</c:v>
                </c:pt>
                <c:pt idx="76">
                  <c:v>1250</c:v>
                </c:pt>
                <c:pt idx="77">
                  <c:v>1350</c:v>
                </c:pt>
                <c:pt idx="78">
                  <c:v>6400</c:v>
                </c:pt>
                <c:pt idx="79">
                  <c:v>2400</c:v>
                </c:pt>
                <c:pt idx="80">
                  <c:v>420</c:v>
                </c:pt>
                <c:pt idx="81">
                  <c:v>240</c:v>
                </c:pt>
                <c:pt idx="82">
                  <c:v>210</c:v>
                </c:pt>
                <c:pt idx="83">
                  <c:v>300</c:v>
                </c:pt>
                <c:pt idx="84">
                  <c:v>304</c:v>
                </c:pt>
                <c:pt idx="85">
                  <c:v>160</c:v>
                </c:pt>
                <c:pt idx="86">
                  <c:v>200</c:v>
                </c:pt>
                <c:pt idx="87">
                  <c:v>60</c:v>
                </c:pt>
                <c:pt idx="88">
                  <c:v>8400</c:v>
                </c:pt>
                <c:pt idx="89">
                  <c:v>170</c:v>
                </c:pt>
                <c:pt idx="90">
                  <c:v>1200</c:v>
                </c:pt>
                <c:pt idx="91">
                  <c:v>2800</c:v>
                </c:pt>
                <c:pt idx="92">
                  <c:v>1800</c:v>
                </c:pt>
                <c:pt idx="93">
                  <c:v>2100</c:v>
                </c:pt>
                <c:pt idx="94">
                  <c:v>4000</c:v>
                </c:pt>
                <c:pt idx="95">
                  <c:v>3600</c:v>
                </c:pt>
                <c:pt idx="96">
                  <c:v>750</c:v>
                </c:pt>
                <c:pt idx="97">
                  <c:v>1620</c:v>
                </c:pt>
                <c:pt idx="98">
                  <c:v>1600</c:v>
                </c:pt>
                <c:pt idx="99">
                  <c:v>1200</c:v>
                </c:pt>
                <c:pt idx="100">
                  <c:v>105</c:v>
                </c:pt>
                <c:pt idx="101">
                  <c:v>80</c:v>
                </c:pt>
                <c:pt idx="102">
                  <c:v>150</c:v>
                </c:pt>
                <c:pt idx="103">
                  <c:v>180</c:v>
                </c:pt>
                <c:pt idx="104">
                  <c:v>76</c:v>
                </c:pt>
                <c:pt idx="105">
                  <c:v>320</c:v>
                </c:pt>
                <c:pt idx="106">
                  <c:v>600</c:v>
                </c:pt>
                <c:pt idx="107">
                  <c:v>630</c:v>
                </c:pt>
                <c:pt idx="108">
                  <c:v>360</c:v>
                </c:pt>
                <c:pt idx="109">
                  <c:v>14000</c:v>
                </c:pt>
                <c:pt idx="110">
                  <c:v>1020</c:v>
                </c:pt>
                <c:pt idx="111">
                  <c:v>6600</c:v>
                </c:pt>
                <c:pt idx="112">
                  <c:v>800</c:v>
                </c:pt>
                <c:pt idx="113">
                  <c:v>600</c:v>
                </c:pt>
                <c:pt idx="114">
                  <c:v>1750</c:v>
                </c:pt>
                <c:pt idx="115">
                  <c:v>2000</c:v>
                </c:pt>
                <c:pt idx="116">
                  <c:v>8100</c:v>
                </c:pt>
                <c:pt idx="117">
                  <c:v>750</c:v>
                </c:pt>
                <c:pt idx="118">
                  <c:v>7200</c:v>
                </c:pt>
                <c:pt idx="119">
                  <c:v>1600</c:v>
                </c:pt>
                <c:pt idx="120">
                  <c:v>70</c:v>
                </c:pt>
                <c:pt idx="121">
                  <c:v>200</c:v>
                </c:pt>
                <c:pt idx="122">
                  <c:v>90</c:v>
                </c:pt>
                <c:pt idx="123">
                  <c:v>360</c:v>
                </c:pt>
                <c:pt idx="124">
                  <c:v>228</c:v>
                </c:pt>
                <c:pt idx="125">
                  <c:v>560</c:v>
                </c:pt>
                <c:pt idx="126">
                  <c:v>600</c:v>
                </c:pt>
                <c:pt idx="127">
                  <c:v>630</c:v>
                </c:pt>
                <c:pt idx="128">
                  <c:v>120</c:v>
                </c:pt>
                <c:pt idx="129">
                  <c:v>14000</c:v>
                </c:pt>
                <c:pt idx="130">
                  <c:v>6400</c:v>
                </c:pt>
                <c:pt idx="131">
                  <c:v>600</c:v>
                </c:pt>
                <c:pt idx="132">
                  <c:v>1200</c:v>
                </c:pt>
                <c:pt idx="133">
                  <c:v>1500</c:v>
                </c:pt>
                <c:pt idx="134">
                  <c:v>2100</c:v>
                </c:pt>
                <c:pt idx="135">
                  <c:v>2500</c:v>
                </c:pt>
                <c:pt idx="136">
                  <c:v>5400</c:v>
                </c:pt>
                <c:pt idx="137">
                  <c:v>1250</c:v>
                </c:pt>
                <c:pt idx="138">
                  <c:v>1080</c:v>
                </c:pt>
                <c:pt idx="139">
                  <c:v>800</c:v>
                </c:pt>
                <c:pt idx="140">
                  <c:v>1200</c:v>
                </c:pt>
                <c:pt idx="141">
                  <c:v>420</c:v>
                </c:pt>
                <c:pt idx="142">
                  <c:v>400</c:v>
                </c:pt>
                <c:pt idx="143">
                  <c:v>120</c:v>
                </c:pt>
                <c:pt idx="144">
                  <c:v>360</c:v>
                </c:pt>
                <c:pt idx="145">
                  <c:v>988</c:v>
                </c:pt>
                <c:pt idx="146">
                  <c:v>480</c:v>
                </c:pt>
                <c:pt idx="147">
                  <c:v>600</c:v>
                </c:pt>
                <c:pt idx="148">
                  <c:v>70</c:v>
                </c:pt>
                <c:pt idx="149">
                  <c:v>240</c:v>
                </c:pt>
                <c:pt idx="150">
                  <c:v>9600</c:v>
                </c:pt>
                <c:pt idx="151">
                  <c:v>510</c:v>
                </c:pt>
                <c:pt idx="152">
                  <c:v>2800</c:v>
                </c:pt>
                <c:pt idx="153">
                  <c:v>1200</c:v>
                </c:pt>
                <c:pt idx="154">
                  <c:v>2100</c:v>
                </c:pt>
                <c:pt idx="155">
                  <c:v>5000</c:v>
                </c:pt>
                <c:pt idx="156">
                  <c:v>3600</c:v>
                </c:pt>
                <c:pt idx="157">
                  <c:v>2750</c:v>
                </c:pt>
                <c:pt idx="158">
                  <c:v>1620</c:v>
                </c:pt>
                <c:pt idx="159">
                  <c:v>7200</c:v>
                </c:pt>
                <c:pt idx="160">
                  <c:v>800</c:v>
                </c:pt>
                <c:pt idx="161">
                  <c:v>35</c:v>
                </c:pt>
                <c:pt idx="162">
                  <c:v>200</c:v>
                </c:pt>
                <c:pt idx="163">
                  <c:v>210</c:v>
                </c:pt>
                <c:pt idx="164">
                  <c:v>480</c:v>
                </c:pt>
                <c:pt idx="165">
                  <c:v>456</c:v>
                </c:pt>
                <c:pt idx="166">
                  <c:v>480</c:v>
                </c:pt>
                <c:pt idx="167">
                  <c:v>300</c:v>
                </c:pt>
                <c:pt idx="168">
                  <c:v>700</c:v>
                </c:pt>
                <c:pt idx="169">
                  <c:v>420</c:v>
                </c:pt>
                <c:pt idx="170">
                  <c:v>2800</c:v>
                </c:pt>
                <c:pt idx="171">
                  <c:v>1600</c:v>
                </c:pt>
                <c:pt idx="172">
                  <c:v>1360</c:v>
                </c:pt>
                <c:pt idx="173">
                  <c:v>3600</c:v>
                </c:pt>
                <c:pt idx="174">
                  <c:v>1200</c:v>
                </c:pt>
                <c:pt idx="175">
                  <c:v>3900</c:v>
                </c:pt>
                <c:pt idx="176">
                  <c:v>2450</c:v>
                </c:pt>
                <c:pt idx="177">
                  <c:v>2500</c:v>
                </c:pt>
                <c:pt idx="178">
                  <c:v>6300</c:v>
                </c:pt>
                <c:pt idx="179">
                  <c:v>1500</c:v>
                </c:pt>
                <c:pt idx="180">
                  <c:v>1350</c:v>
                </c:pt>
                <c:pt idx="181">
                  <c:v>2400</c:v>
                </c:pt>
                <c:pt idx="18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B-4F5B-AF85-2073958C9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71433007"/>
        <c:axId val="671443823"/>
      </c:barChart>
      <c:catAx>
        <c:axId val="671433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443823"/>
        <c:crosses val="autoZero"/>
        <c:auto val="1"/>
        <c:lblAlgn val="ctr"/>
        <c:lblOffset val="100"/>
        <c:noMultiLvlLbl val="0"/>
      </c:catAx>
      <c:valAx>
        <c:axId val="671443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433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- Copia.xlsm]Planilha4!Tabela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Vendas de Produtos por Funcionário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Planilha4!$B$6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Planilha4!$A$7:$A$199</c:f>
              <c:multiLvlStrCache>
                <c:ptCount val="183"/>
                <c:lvl>
                  <c:pt idx="0">
                    <c:v>Anilha 15 kg</c:v>
                  </c:pt>
                  <c:pt idx="1">
                    <c:v>Anilha 25 kg</c:v>
                  </c:pt>
                  <c:pt idx="2">
                    <c:v>Anilha 5 kg</c:v>
                  </c:pt>
                  <c:pt idx="3">
                    <c:v>Bermuda Nike Dry Trophy</c:v>
                  </c:pt>
                  <c:pt idx="4">
                    <c:v>Bermuda Nike Flex Short Woven</c:v>
                  </c:pt>
                  <c:pt idx="5">
                    <c:v>Bermuda Puma Essentials Sweet</c:v>
                  </c:pt>
                  <c:pt idx="6">
                    <c:v>Bola Jabulani Copa Fifa 2010</c:v>
                  </c:pt>
                  <c:pt idx="7">
                    <c:v>Camiseta Puma Essentials</c:v>
                  </c:pt>
                  <c:pt idx="8">
                    <c:v>Mountain Bike Caloi 29 - Aro 29</c:v>
                  </c:pt>
                  <c:pt idx="9">
                    <c:v>Tenis Adidas Falcon </c:v>
                  </c:pt>
                  <c:pt idx="10">
                    <c:v>Tenis Adidas NMD_R1</c:v>
                  </c:pt>
                  <c:pt idx="11">
                    <c:v>Tenis Adidas Ventice</c:v>
                  </c:pt>
                  <c:pt idx="12">
                    <c:v>Tenis New Balace 27</c:v>
                  </c:pt>
                  <c:pt idx="13">
                    <c:v>Tenis New Balance 247</c:v>
                  </c:pt>
                  <c:pt idx="14">
                    <c:v>Tenis New Balance 500</c:v>
                  </c:pt>
                  <c:pt idx="15">
                    <c:v>Tênis New Balance Fresh Foam 1080v10</c:v>
                  </c:pt>
                  <c:pt idx="16">
                    <c:v>Tenis Nike Air</c:v>
                  </c:pt>
                  <c:pt idx="17">
                    <c:v>Tenis Nike RENEW In-Season TR-9</c:v>
                  </c:pt>
                  <c:pt idx="18">
                    <c:v>Tenis Nike Revolution 5</c:v>
                  </c:pt>
                  <c:pt idx="19">
                    <c:v>Tenis Nike SB Check</c:v>
                  </c:pt>
                  <c:pt idx="20">
                    <c:v>Anilha 15 kg</c:v>
                  </c:pt>
                  <c:pt idx="21">
                    <c:v>Anilha 25 kg</c:v>
                  </c:pt>
                  <c:pt idx="22">
                    <c:v>Anilha 5 kg</c:v>
                  </c:pt>
                  <c:pt idx="23">
                    <c:v>Bermuda Nike Dry Trophy</c:v>
                  </c:pt>
                  <c:pt idx="24">
                    <c:v>Bermuda Puma Essentials Sweet</c:v>
                  </c:pt>
                  <c:pt idx="25">
                    <c:v>Bola Jabulani Copa Fifa 2010</c:v>
                  </c:pt>
                  <c:pt idx="26">
                    <c:v>Calçao Nike Dry-fit Academy</c:v>
                  </c:pt>
                  <c:pt idx="27">
                    <c:v>Camiseta Puma Essentials</c:v>
                  </c:pt>
                  <c:pt idx="28">
                    <c:v>Mountain Bike Caloi 29 - Aro 29</c:v>
                  </c:pt>
                  <c:pt idx="29">
                    <c:v>Mountain Bike Caloi Vulcan - Aro 29</c:v>
                  </c:pt>
                  <c:pt idx="30">
                    <c:v>Tenis Adidas Falcon </c:v>
                  </c:pt>
                  <c:pt idx="31">
                    <c:v>Tenis Adidas NMD_R1</c:v>
                  </c:pt>
                  <c:pt idx="32">
                    <c:v>Tenis Adidas Ventice</c:v>
                  </c:pt>
                  <c:pt idx="33">
                    <c:v>Tenis New Balace 27</c:v>
                  </c:pt>
                  <c:pt idx="34">
                    <c:v>Tenis New Balance 247</c:v>
                  </c:pt>
                  <c:pt idx="35">
                    <c:v>Tenis New Balance 500</c:v>
                  </c:pt>
                  <c:pt idx="36">
                    <c:v>Tênis New Balance Fresh Foam 1080v10</c:v>
                  </c:pt>
                  <c:pt idx="37">
                    <c:v>Tenis Nike Air</c:v>
                  </c:pt>
                  <c:pt idx="38">
                    <c:v>Tenis Nike RENEW In-Season TR-9</c:v>
                  </c:pt>
                  <c:pt idx="39">
                    <c:v>Tenis Nike Revolution 5</c:v>
                  </c:pt>
                  <c:pt idx="40">
                    <c:v>Tenis Nike SB Check</c:v>
                  </c:pt>
                  <c:pt idx="41">
                    <c:v>Anilha 15 kg</c:v>
                  </c:pt>
                  <c:pt idx="42">
                    <c:v>Anilha 25 kg</c:v>
                  </c:pt>
                  <c:pt idx="43">
                    <c:v>Bermuda Nike Dry Trophy</c:v>
                  </c:pt>
                  <c:pt idx="44">
                    <c:v>Bermuda Nike Flex Short Woven</c:v>
                  </c:pt>
                  <c:pt idx="45">
                    <c:v>Bermuda Puma Essentials Sweet</c:v>
                  </c:pt>
                  <c:pt idx="46">
                    <c:v>Bola Jabulani Copa Fifa 2010</c:v>
                  </c:pt>
                  <c:pt idx="47">
                    <c:v>Calçao Nike Dry-fit Academy</c:v>
                  </c:pt>
                  <c:pt idx="48">
                    <c:v>Camiseta Puma Essentials</c:v>
                  </c:pt>
                  <c:pt idx="49">
                    <c:v>Mountain Bike Caloi 29 - Aro 29</c:v>
                  </c:pt>
                  <c:pt idx="50">
                    <c:v>Tenis Adidas Falcon </c:v>
                  </c:pt>
                  <c:pt idx="51">
                    <c:v>Tenis Adidas NMD_R1</c:v>
                  </c:pt>
                  <c:pt idx="52">
                    <c:v>Tenis Adidas Ventice</c:v>
                  </c:pt>
                  <c:pt idx="53">
                    <c:v>Tenis New Balace 27</c:v>
                  </c:pt>
                  <c:pt idx="54">
                    <c:v>Tenis New Balance 247</c:v>
                  </c:pt>
                  <c:pt idx="55">
                    <c:v>Tênis New Balance Fresh Foam 1080v10</c:v>
                  </c:pt>
                  <c:pt idx="56">
                    <c:v>Tenis Nike Air</c:v>
                  </c:pt>
                  <c:pt idx="57">
                    <c:v>Tenis Nike RENEW In-Season TR-9</c:v>
                  </c:pt>
                  <c:pt idx="58">
                    <c:v>Tenis Nike Revolution 5</c:v>
                  </c:pt>
                  <c:pt idx="59">
                    <c:v>Tenis Nike SB Check</c:v>
                  </c:pt>
                  <c:pt idx="60">
                    <c:v>Anilha 15 kg</c:v>
                  </c:pt>
                  <c:pt idx="61">
                    <c:v>Anilha 25 kg</c:v>
                  </c:pt>
                  <c:pt idx="62">
                    <c:v>Anilha 5 kg</c:v>
                  </c:pt>
                  <c:pt idx="63">
                    <c:v>Bermuda Nike Dry Trophy</c:v>
                  </c:pt>
                  <c:pt idx="64">
                    <c:v>Bermuda Nike Flex Short Woven</c:v>
                  </c:pt>
                  <c:pt idx="65">
                    <c:v>Bermuda Puma Essentials Sweet</c:v>
                  </c:pt>
                  <c:pt idx="66">
                    <c:v>Bola Jabulani Copa Fifa 2010</c:v>
                  </c:pt>
                  <c:pt idx="67">
                    <c:v>Calçao Nike Dry-fit Academy</c:v>
                  </c:pt>
                  <c:pt idx="68">
                    <c:v>Camiseta Puma Essentials</c:v>
                  </c:pt>
                  <c:pt idx="69">
                    <c:v>Mountain Bike Caloi 29 - Aro 29</c:v>
                  </c:pt>
                  <c:pt idx="70">
                    <c:v>Tenis Adidas Falcon </c:v>
                  </c:pt>
                  <c:pt idx="71">
                    <c:v>Tenis Adidas NMD_R1</c:v>
                  </c:pt>
                  <c:pt idx="72">
                    <c:v>Tenis Adidas Ventice</c:v>
                  </c:pt>
                  <c:pt idx="73">
                    <c:v>Tenis New Balace 27</c:v>
                  </c:pt>
                  <c:pt idx="74">
                    <c:v>Tenis New Balance 247</c:v>
                  </c:pt>
                  <c:pt idx="75">
                    <c:v>Tenis New Balance 500</c:v>
                  </c:pt>
                  <c:pt idx="76">
                    <c:v>Tênis New Balance Fresh Foam 1080v10</c:v>
                  </c:pt>
                  <c:pt idx="77">
                    <c:v>Tenis Nike Air</c:v>
                  </c:pt>
                  <c:pt idx="78">
                    <c:v>Tenis Nike Revolution 5</c:v>
                  </c:pt>
                  <c:pt idx="79">
                    <c:v>Tenis Nike SB Check</c:v>
                  </c:pt>
                  <c:pt idx="80">
                    <c:v>Anilha 15 kg</c:v>
                  </c:pt>
                  <c:pt idx="81">
                    <c:v>Anilha 25 kg</c:v>
                  </c:pt>
                  <c:pt idx="82">
                    <c:v>Anilha 5 kg</c:v>
                  </c:pt>
                  <c:pt idx="83">
                    <c:v>Bermuda Nike Dry Trophy</c:v>
                  </c:pt>
                  <c:pt idx="84">
                    <c:v>Bermuda Nike Flex Short Woven</c:v>
                  </c:pt>
                  <c:pt idx="85">
                    <c:v>Bermuda Puma Essentials Sweet</c:v>
                  </c:pt>
                  <c:pt idx="86">
                    <c:v>Bola Jabulani Copa Fifa 2010</c:v>
                  </c:pt>
                  <c:pt idx="87">
                    <c:v>Calçao Nike Dry-fit Academy</c:v>
                  </c:pt>
                  <c:pt idx="88">
                    <c:v>Camiseta Puma Essentials</c:v>
                  </c:pt>
                  <c:pt idx="89">
                    <c:v>Mountain Bike Caloi 29 - Aro 29</c:v>
                  </c:pt>
                  <c:pt idx="90">
                    <c:v>Mountain Bike Caloi Vulcan - Aro 29</c:v>
                  </c:pt>
                  <c:pt idx="91">
                    <c:v>Tenis Adidas NMD_R1</c:v>
                  </c:pt>
                  <c:pt idx="92">
                    <c:v>Tenis Adidas Ventice</c:v>
                  </c:pt>
                  <c:pt idx="93">
                    <c:v>Tenis New Balace 27</c:v>
                  </c:pt>
                  <c:pt idx="94">
                    <c:v>Tenis New Balance 247</c:v>
                  </c:pt>
                  <c:pt idx="95">
                    <c:v>Tenis New Balance 500</c:v>
                  </c:pt>
                  <c:pt idx="96">
                    <c:v>Tênis New Balance Fresh Foam 1080v10</c:v>
                  </c:pt>
                  <c:pt idx="97">
                    <c:v>Tenis Nike Air</c:v>
                  </c:pt>
                  <c:pt idx="98">
                    <c:v>Tenis Nike RENEW In-Season TR-9</c:v>
                  </c:pt>
                  <c:pt idx="99">
                    <c:v>Tenis Nike Revolution 5</c:v>
                  </c:pt>
                  <c:pt idx="100">
                    <c:v>Tenis Nike SB Check</c:v>
                  </c:pt>
                  <c:pt idx="101">
                    <c:v>Anilha 15 kg</c:v>
                  </c:pt>
                  <c:pt idx="102">
                    <c:v>Anilha 25 kg</c:v>
                  </c:pt>
                  <c:pt idx="103">
                    <c:v>Anilha 5 kg</c:v>
                  </c:pt>
                  <c:pt idx="104">
                    <c:v>Bermuda Nike Dry Trophy</c:v>
                  </c:pt>
                  <c:pt idx="105">
                    <c:v>Bermuda Nike Flex Short Woven</c:v>
                  </c:pt>
                  <c:pt idx="106">
                    <c:v>Bermuda Puma Essentials Sweet</c:v>
                  </c:pt>
                  <c:pt idx="107">
                    <c:v>Bola Jabulani Copa Fifa 2010</c:v>
                  </c:pt>
                  <c:pt idx="108">
                    <c:v>Calçao Nike Dry-fit Academy</c:v>
                  </c:pt>
                  <c:pt idx="109">
                    <c:v>Camiseta Puma Essentials</c:v>
                  </c:pt>
                  <c:pt idx="110">
                    <c:v>Mountain Bike Caloi Vulcan - Aro 29</c:v>
                  </c:pt>
                  <c:pt idx="111">
                    <c:v>Tenis Adidas Falcon </c:v>
                  </c:pt>
                  <c:pt idx="112">
                    <c:v>Tenis Adidas Ventice</c:v>
                  </c:pt>
                  <c:pt idx="113">
                    <c:v>Tenis New Balace 27</c:v>
                  </c:pt>
                  <c:pt idx="114">
                    <c:v>Tenis New Balance 247</c:v>
                  </c:pt>
                  <c:pt idx="115">
                    <c:v>Tenis New Balance 500</c:v>
                  </c:pt>
                  <c:pt idx="116">
                    <c:v>Tênis New Balance Fresh Foam 1080v10</c:v>
                  </c:pt>
                  <c:pt idx="117">
                    <c:v>Tenis Nike Air</c:v>
                  </c:pt>
                  <c:pt idx="118">
                    <c:v>Tenis Nike RENEW In-Season TR-9</c:v>
                  </c:pt>
                  <c:pt idx="119">
                    <c:v>Tenis Nike Revolution 5</c:v>
                  </c:pt>
                  <c:pt idx="120">
                    <c:v>Tenis Nike SB Check</c:v>
                  </c:pt>
                  <c:pt idx="121">
                    <c:v>Anilha 15 kg</c:v>
                  </c:pt>
                  <c:pt idx="122">
                    <c:v>Anilha 25 kg</c:v>
                  </c:pt>
                  <c:pt idx="123">
                    <c:v>Anilha 5 kg</c:v>
                  </c:pt>
                  <c:pt idx="124">
                    <c:v>Bermuda Nike Dry Trophy</c:v>
                  </c:pt>
                  <c:pt idx="125">
                    <c:v>Bermuda Nike Flex Short Woven</c:v>
                  </c:pt>
                  <c:pt idx="126">
                    <c:v>Bermuda Puma Essentials Sweet</c:v>
                  </c:pt>
                  <c:pt idx="127">
                    <c:v>Bola Jabulani Copa Fifa 2010</c:v>
                  </c:pt>
                  <c:pt idx="128">
                    <c:v>Calçao Nike Dry-fit Academy</c:v>
                  </c:pt>
                  <c:pt idx="129">
                    <c:v>Camiseta Puma Essentials</c:v>
                  </c:pt>
                  <c:pt idx="130">
                    <c:v>Mountain Bike Caloi 29 - Aro 29</c:v>
                  </c:pt>
                  <c:pt idx="131">
                    <c:v>Mountain Bike Caloi Vulcan - Aro 29</c:v>
                  </c:pt>
                  <c:pt idx="132">
                    <c:v>Tenis Adidas Falcon </c:v>
                  </c:pt>
                  <c:pt idx="133">
                    <c:v>Tenis Adidas NMD_R1</c:v>
                  </c:pt>
                  <c:pt idx="134">
                    <c:v>Tenis Adidas Ventice</c:v>
                  </c:pt>
                  <c:pt idx="135">
                    <c:v>Tenis New Balace 27</c:v>
                  </c:pt>
                  <c:pt idx="136">
                    <c:v>Tenis New Balance 247</c:v>
                  </c:pt>
                  <c:pt idx="137">
                    <c:v>Tenis New Balance 500</c:v>
                  </c:pt>
                  <c:pt idx="138">
                    <c:v>Tênis New Balance Fresh Foam 1080v10</c:v>
                  </c:pt>
                  <c:pt idx="139">
                    <c:v>Tenis Nike Air</c:v>
                  </c:pt>
                  <c:pt idx="140">
                    <c:v>Tenis Nike RENEW In-Season TR-9</c:v>
                  </c:pt>
                  <c:pt idx="141">
                    <c:v>Tenis Nike Revolution 5</c:v>
                  </c:pt>
                  <c:pt idx="142">
                    <c:v>Tenis Nike SB Check</c:v>
                  </c:pt>
                  <c:pt idx="143">
                    <c:v>Anilha 15 kg</c:v>
                  </c:pt>
                  <c:pt idx="144">
                    <c:v>Anilha 25 kg</c:v>
                  </c:pt>
                  <c:pt idx="145">
                    <c:v>Anilha 5 kg</c:v>
                  </c:pt>
                  <c:pt idx="146">
                    <c:v>Bermuda Nike Dry Trophy</c:v>
                  </c:pt>
                  <c:pt idx="147">
                    <c:v>Bermuda Nike Flex Short Woven</c:v>
                  </c:pt>
                  <c:pt idx="148">
                    <c:v>Bermuda Puma Essentials Sweet</c:v>
                  </c:pt>
                  <c:pt idx="149">
                    <c:v>Bola Jabulani Copa Fifa 2010</c:v>
                  </c:pt>
                  <c:pt idx="150">
                    <c:v>Calçao Nike Dry-fit Academy</c:v>
                  </c:pt>
                  <c:pt idx="151">
                    <c:v>Camiseta Puma Essentials</c:v>
                  </c:pt>
                  <c:pt idx="152">
                    <c:v>Mountain Bike Caloi 29 - Aro 29</c:v>
                  </c:pt>
                  <c:pt idx="153">
                    <c:v>Mountain Bike Caloi Vulcan - Aro 29</c:v>
                  </c:pt>
                  <c:pt idx="154">
                    <c:v>Tenis Adidas Falcon </c:v>
                  </c:pt>
                  <c:pt idx="155">
                    <c:v>Tenis Adidas NMD_R1</c:v>
                  </c:pt>
                  <c:pt idx="156">
                    <c:v>Tenis Adidas Ventice</c:v>
                  </c:pt>
                  <c:pt idx="157">
                    <c:v>Tenis New Balace 27</c:v>
                  </c:pt>
                  <c:pt idx="158">
                    <c:v>Tenis New Balance 500</c:v>
                  </c:pt>
                  <c:pt idx="159">
                    <c:v>Tenis Nike Air</c:v>
                  </c:pt>
                  <c:pt idx="160">
                    <c:v>Tenis Nike RENEW In-Season TR-9</c:v>
                  </c:pt>
                  <c:pt idx="161">
                    <c:v>Tenis Nike Revolution 5</c:v>
                  </c:pt>
                  <c:pt idx="162">
                    <c:v>Tenis Nike SB Check</c:v>
                  </c:pt>
                  <c:pt idx="163">
                    <c:v>Anilha 15 kg</c:v>
                  </c:pt>
                  <c:pt idx="164">
                    <c:v>Anilha 25 kg</c:v>
                  </c:pt>
                  <c:pt idx="165">
                    <c:v>Anilha 5 kg</c:v>
                  </c:pt>
                  <c:pt idx="166">
                    <c:v>Bermuda Nike Dry Trophy</c:v>
                  </c:pt>
                  <c:pt idx="167">
                    <c:v>Bermuda Nike Flex Short Woven</c:v>
                  </c:pt>
                  <c:pt idx="168">
                    <c:v>Bermuda Puma Essentials Sweet</c:v>
                  </c:pt>
                  <c:pt idx="169">
                    <c:v>Calçao Nike Dry-fit Academy</c:v>
                  </c:pt>
                  <c:pt idx="170">
                    <c:v>Camiseta Puma Essentials</c:v>
                  </c:pt>
                  <c:pt idx="171">
                    <c:v>Mountain Bike Caloi 29 - Aro 29</c:v>
                  </c:pt>
                  <c:pt idx="172">
                    <c:v>Tenis Adidas Falcon </c:v>
                  </c:pt>
                  <c:pt idx="173">
                    <c:v>Tenis Adidas NMD_R1</c:v>
                  </c:pt>
                  <c:pt idx="174">
                    <c:v>Tenis Adidas Ventice</c:v>
                  </c:pt>
                  <c:pt idx="175">
                    <c:v>Tenis New Balace 27</c:v>
                  </c:pt>
                  <c:pt idx="176">
                    <c:v>Tenis New Balance 247</c:v>
                  </c:pt>
                  <c:pt idx="177">
                    <c:v>Tenis New Balance 500</c:v>
                  </c:pt>
                  <c:pt idx="178">
                    <c:v>Tênis New Balance Fresh Foam 1080v10</c:v>
                  </c:pt>
                  <c:pt idx="179">
                    <c:v>Tenis Nike Air</c:v>
                  </c:pt>
                  <c:pt idx="180">
                    <c:v>Tenis Nike RENEW In-Season TR-9</c:v>
                  </c:pt>
                  <c:pt idx="181">
                    <c:v>Tenis Nike Revolution 5</c:v>
                  </c:pt>
                  <c:pt idx="182">
                    <c:v>Tenis Nike SB Check</c:v>
                  </c:pt>
                </c:lvl>
                <c:lvl>
                  <c:pt idx="0">
                    <c:v>Alice Moreira</c:v>
                  </c:pt>
                  <c:pt idx="20">
                    <c:v>Felipe Ragne</c:v>
                  </c:pt>
                  <c:pt idx="41">
                    <c:v>Gabriel Lanza</c:v>
                  </c:pt>
                  <c:pt idx="60">
                    <c:v>Júlia Peres</c:v>
                  </c:pt>
                  <c:pt idx="80">
                    <c:v>Lucca Junior</c:v>
                  </c:pt>
                  <c:pt idx="101">
                    <c:v>Mateus Azevedo</c:v>
                  </c:pt>
                  <c:pt idx="121">
                    <c:v>Miguel Souza</c:v>
                  </c:pt>
                  <c:pt idx="143">
                    <c:v>Pedro Mendes</c:v>
                  </c:pt>
                  <c:pt idx="163">
                    <c:v>Sofia Teles</c:v>
                  </c:pt>
                </c:lvl>
              </c:multiLvlStrCache>
            </c:multiLvlStrRef>
          </c:cat>
          <c:val>
            <c:numRef>
              <c:f>Planilha4!$B$7:$B$199</c:f>
              <c:numCache>
                <c:formatCode>0.00</c:formatCode>
                <c:ptCount val="183"/>
                <c:pt idx="0">
                  <c:v>12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3</c:v>
                </c:pt>
                <c:pt idx="17">
                  <c:v>6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14</c:v>
                </c:pt>
                <c:pt idx="23">
                  <c:v>9</c:v>
                </c:pt>
                <c:pt idx="24">
                  <c:v>1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5</c:v>
                </c:pt>
                <c:pt idx="29">
                  <c:v>4</c:v>
                </c:pt>
                <c:pt idx="30">
                  <c:v>7</c:v>
                </c:pt>
                <c:pt idx="31">
                  <c:v>10</c:v>
                </c:pt>
                <c:pt idx="32">
                  <c:v>11</c:v>
                </c:pt>
                <c:pt idx="33">
                  <c:v>1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4</c:v>
                </c:pt>
                <c:pt idx="38">
                  <c:v>4</c:v>
                </c:pt>
                <c:pt idx="39">
                  <c:v>10</c:v>
                </c:pt>
                <c:pt idx="40">
                  <c:v>3</c:v>
                </c:pt>
                <c:pt idx="41">
                  <c:v>7</c:v>
                </c:pt>
                <c:pt idx="42">
                  <c:v>12</c:v>
                </c:pt>
                <c:pt idx="43">
                  <c:v>1</c:v>
                </c:pt>
                <c:pt idx="44">
                  <c:v>6</c:v>
                </c:pt>
                <c:pt idx="45">
                  <c:v>2</c:v>
                </c:pt>
                <c:pt idx="46">
                  <c:v>6</c:v>
                </c:pt>
                <c:pt idx="47">
                  <c:v>1</c:v>
                </c:pt>
                <c:pt idx="48">
                  <c:v>10</c:v>
                </c:pt>
                <c:pt idx="49">
                  <c:v>3</c:v>
                </c:pt>
                <c:pt idx="50">
                  <c:v>6</c:v>
                </c:pt>
                <c:pt idx="51">
                  <c:v>7</c:v>
                </c:pt>
                <c:pt idx="52">
                  <c:v>10</c:v>
                </c:pt>
                <c:pt idx="53">
                  <c:v>6</c:v>
                </c:pt>
                <c:pt idx="54">
                  <c:v>3</c:v>
                </c:pt>
                <c:pt idx="55">
                  <c:v>11</c:v>
                </c:pt>
                <c:pt idx="56">
                  <c:v>5</c:v>
                </c:pt>
                <c:pt idx="57">
                  <c:v>5</c:v>
                </c:pt>
                <c:pt idx="58">
                  <c:v>8</c:v>
                </c:pt>
                <c:pt idx="59">
                  <c:v>6</c:v>
                </c:pt>
                <c:pt idx="60">
                  <c:v>3</c:v>
                </c:pt>
                <c:pt idx="61">
                  <c:v>2</c:v>
                </c:pt>
                <c:pt idx="62">
                  <c:v>5</c:v>
                </c:pt>
                <c:pt idx="63">
                  <c:v>3</c:v>
                </c:pt>
                <c:pt idx="64">
                  <c:v>1</c:v>
                </c:pt>
                <c:pt idx="65">
                  <c:v>4</c:v>
                </c:pt>
                <c:pt idx="66">
                  <c:v>6</c:v>
                </c:pt>
                <c:pt idx="67">
                  <c:v>9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11</c:v>
                </c:pt>
                <c:pt idx="72">
                  <c:v>2</c:v>
                </c:pt>
                <c:pt idx="73">
                  <c:v>2</c:v>
                </c:pt>
                <c:pt idx="74">
                  <c:v>5</c:v>
                </c:pt>
                <c:pt idx="75">
                  <c:v>4</c:v>
                </c:pt>
                <c:pt idx="76">
                  <c:v>9</c:v>
                </c:pt>
                <c:pt idx="77">
                  <c:v>3</c:v>
                </c:pt>
                <c:pt idx="78">
                  <c:v>9</c:v>
                </c:pt>
                <c:pt idx="79">
                  <c:v>4</c:v>
                </c:pt>
                <c:pt idx="80">
                  <c:v>2</c:v>
                </c:pt>
                <c:pt idx="81">
                  <c:v>5</c:v>
                </c:pt>
                <c:pt idx="82">
                  <c:v>3</c:v>
                </c:pt>
                <c:pt idx="83">
                  <c:v>6</c:v>
                </c:pt>
                <c:pt idx="84">
                  <c:v>3</c:v>
                </c:pt>
                <c:pt idx="85">
                  <c:v>7</c:v>
                </c:pt>
                <c:pt idx="86">
                  <c:v>6</c:v>
                </c:pt>
                <c:pt idx="87">
                  <c:v>9</c:v>
                </c:pt>
                <c:pt idx="88">
                  <c:v>2</c:v>
                </c:pt>
                <c:pt idx="89">
                  <c:v>5</c:v>
                </c:pt>
                <c:pt idx="90">
                  <c:v>4</c:v>
                </c:pt>
                <c:pt idx="91">
                  <c:v>1</c:v>
                </c:pt>
                <c:pt idx="92">
                  <c:v>3</c:v>
                </c:pt>
                <c:pt idx="93">
                  <c:v>5</c:v>
                </c:pt>
                <c:pt idx="94">
                  <c:v>6</c:v>
                </c:pt>
                <c:pt idx="95">
                  <c:v>5</c:v>
                </c:pt>
                <c:pt idx="96">
                  <c:v>6</c:v>
                </c:pt>
                <c:pt idx="97">
                  <c:v>5</c:v>
                </c:pt>
                <c:pt idx="98">
                  <c:v>4</c:v>
                </c:pt>
                <c:pt idx="99">
                  <c:v>1</c:v>
                </c:pt>
                <c:pt idx="100">
                  <c:v>3</c:v>
                </c:pt>
                <c:pt idx="101">
                  <c:v>12</c:v>
                </c:pt>
                <c:pt idx="102">
                  <c:v>10</c:v>
                </c:pt>
                <c:pt idx="103">
                  <c:v>4</c:v>
                </c:pt>
                <c:pt idx="104">
                  <c:v>6</c:v>
                </c:pt>
                <c:pt idx="105">
                  <c:v>13</c:v>
                </c:pt>
                <c:pt idx="106">
                  <c:v>6</c:v>
                </c:pt>
                <c:pt idx="107">
                  <c:v>6</c:v>
                </c:pt>
                <c:pt idx="108">
                  <c:v>1</c:v>
                </c:pt>
                <c:pt idx="109">
                  <c:v>4</c:v>
                </c:pt>
                <c:pt idx="110">
                  <c:v>6</c:v>
                </c:pt>
                <c:pt idx="111">
                  <c:v>3</c:v>
                </c:pt>
                <c:pt idx="112">
                  <c:v>7</c:v>
                </c:pt>
                <c:pt idx="113">
                  <c:v>4</c:v>
                </c:pt>
                <c:pt idx="114">
                  <c:v>6</c:v>
                </c:pt>
                <c:pt idx="115">
                  <c:v>10</c:v>
                </c:pt>
                <c:pt idx="116">
                  <c:v>4</c:v>
                </c:pt>
                <c:pt idx="117">
                  <c:v>11</c:v>
                </c:pt>
                <c:pt idx="118">
                  <c:v>6</c:v>
                </c:pt>
                <c:pt idx="119">
                  <c:v>9</c:v>
                </c:pt>
                <c:pt idx="120">
                  <c:v>2</c:v>
                </c:pt>
                <c:pt idx="121">
                  <c:v>1</c:v>
                </c:pt>
                <c:pt idx="122">
                  <c:v>5</c:v>
                </c:pt>
                <c:pt idx="123">
                  <c:v>7</c:v>
                </c:pt>
                <c:pt idx="124">
                  <c:v>8</c:v>
                </c:pt>
                <c:pt idx="125">
                  <c:v>6</c:v>
                </c:pt>
                <c:pt idx="126">
                  <c:v>6</c:v>
                </c:pt>
                <c:pt idx="127">
                  <c:v>3</c:v>
                </c:pt>
                <c:pt idx="128">
                  <c:v>10</c:v>
                </c:pt>
                <c:pt idx="129">
                  <c:v>7</c:v>
                </c:pt>
                <c:pt idx="130">
                  <c:v>1</c:v>
                </c:pt>
                <c:pt idx="131">
                  <c:v>1</c:v>
                </c:pt>
                <c:pt idx="132">
                  <c:v>8</c:v>
                </c:pt>
                <c:pt idx="133">
                  <c:v>6</c:v>
                </c:pt>
                <c:pt idx="134">
                  <c:v>3</c:v>
                </c:pt>
                <c:pt idx="135">
                  <c:v>13</c:v>
                </c:pt>
                <c:pt idx="136">
                  <c:v>7</c:v>
                </c:pt>
                <c:pt idx="137">
                  <c:v>5</c:v>
                </c:pt>
                <c:pt idx="138">
                  <c:v>7</c:v>
                </c:pt>
                <c:pt idx="139">
                  <c:v>6</c:v>
                </c:pt>
                <c:pt idx="140">
                  <c:v>5</c:v>
                </c:pt>
                <c:pt idx="141">
                  <c:v>3</c:v>
                </c:pt>
                <c:pt idx="142">
                  <c:v>20</c:v>
                </c:pt>
                <c:pt idx="143">
                  <c:v>6</c:v>
                </c:pt>
                <c:pt idx="144">
                  <c:v>10</c:v>
                </c:pt>
                <c:pt idx="145">
                  <c:v>9</c:v>
                </c:pt>
                <c:pt idx="146">
                  <c:v>6</c:v>
                </c:pt>
                <c:pt idx="147">
                  <c:v>11</c:v>
                </c:pt>
                <c:pt idx="148">
                  <c:v>3</c:v>
                </c:pt>
                <c:pt idx="149">
                  <c:v>10</c:v>
                </c:pt>
                <c:pt idx="150">
                  <c:v>5</c:v>
                </c:pt>
                <c:pt idx="151">
                  <c:v>3</c:v>
                </c:pt>
                <c:pt idx="152">
                  <c:v>2</c:v>
                </c:pt>
                <c:pt idx="153">
                  <c:v>10</c:v>
                </c:pt>
                <c:pt idx="154">
                  <c:v>11</c:v>
                </c:pt>
                <c:pt idx="155">
                  <c:v>2</c:v>
                </c:pt>
                <c:pt idx="156">
                  <c:v>5</c:v>
                </c:pt>
                <c:pt idx="157">
                  <c:v>7</c:v>
                </c:pt>
                <c:pt idx="158">
                  <c:v>12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6</c:v>
                </c:pt>
                <c:pt idx="164">
                  <c:v>2</c:v>
                </c:pt>
                <c:pt idx="165">
                  <c:v>8</c:v>
                </c:pt>
                <c:pt idx="166">
                  <c:v>1</c:v>
                </c:pt>
                <c:pt idx="167">
                  <c:v>1</c:v>
                </c:pt>
                <c:pt idx="168">
                  <c:v>6</c:v>
                </c:pt>
                <c:pt idx="169">
                  <c:v>5</c:v>
                </c:pt>
                <c:pt idx="170">
                  <c:v>8</c:v>
                </c:pt>
                <c:pt idx="171">
                  <c:v>5</c:v>
                </c:pt>
                <c:pt idx="172">
                  <c:v>9</c:v>
                </c:pt>
                <c:pt idx="173">
                  <c:v>10</c:v>
                </c:pt>
                <c:pt idx="174">
                  <c:v>2</c:v>
                </c:pt>
                <c:pt idx="175">
                  <c:v>4</c:v>
                </c:pt>
                <c:pt idx="176">
                  <c:v>4</c:v>
                </c:pt>
                <c:pt idx="177">
                  <c:v>2</c:v>
                </c:pt>
                <c:pt idx="178">
                  <c:v>5</c:v>
                </c:pt>
                <c:pt idx="179">
                  <c:v>12</c:v>
                </c:pt>
                <c:pt idx="180">
                  <c:v>4</c:v>
                </c:pt>
                <c:pt idx="181">
                  <c:v>2</c:v>
                </c:pt>
                <c:pt idx="18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F-4C57-A986-C5623C832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87434191"/>
        <c:axId val="687431695"/>
      </c:barChart>
      <c:catAx>
        <c:axId val="6874341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431695"/>
        <c:crosses val="autoZero"/>
        <c:auto val="1"/>
        <c:lblAlgn val="ctr"/>
        <c:lblOffset val="100"/>
        <c:noMultiLvlLbl val="0"/>
      </c:catAx>
      <c:valAx>
        <c:axId val="687431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43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- Copia.xlsm]Planilha5!Tabela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 Compras de Clientes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Planilha5!$B$6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Planilha5!$A$7:$A$362</c:f>
              <c:multiLvlStrCache>
                <c:ptCount val="343"/>
                <c:lvl>
                  <c:pt idx="0">
                    <c:v>Alice Pontes</c:v>
                  </c:pt>
                  <c:pt idx="1">
                    <c:v>Ana Carla</c:v>
                  </c:pt>
                  <c:pt idx="2">
                    <c:v>Anderson Silva</c:v>
                  </c:pt>
                  <c:pt idx="3">
                    <c:v>Davi Teres</c:v>
                  </c:pt>
                  <c:pt idx="4">
                    <c:v>Felipe Moraes</c:v>
                  </c:pt>
                  <c:pt idx="5">
                    <c:v>Gabriel Lanza</c:v>
                  </c:pt>
                  <c:pt idx="6">
                    <c:v>Heitor Kuller</c:v>
                  </c:pt>
                  <c:pt idx="7">
                    <c:v>Hellen Maia</c:v>
                  </c:pt>
                  <c:pt idx="8">
                    <c:v>João Pedro</c:v>
                  </c:pt>
                  <c:pt idx="9">
                    <c:v>João Vitor</c:v>
                  </c:pt>
                  <c:pt idx="10">
                    <c:v>Júlia Matias</c:v>
                  </c:pt>
                  <c:pt idx="11">
                    <c:v>Junior Leite</c:v>
                  </c:pt>
                  <c:pt idx="12">
                    <c:v>Leonardo Freire</c:v>
                  </c:pt>
                  <c:pt idx="13">
                    <c:v>Leticia Manu</c:v>
                  </c:pt>
                  <c:pt idx="14">
                    <c:v>Lucca Luiz</c:v>
                  </c:pt>
                  <c:pt idx="15">
                    <c:v>Luciana Silva</c:v>
                  </c:pt>
                  <c:pt idx="16">
                    <c:v>Maria Maia</c:v>
                  </c:pt>
                  <c:pt idx="17">
                    <c:v>Matheus Enbu</c:v>
                  </c:pt>
                  <c:pt idx="18">
                    <c:v>Miguel Salmão</c:v>
                  </c:pt>
                  <c:pt idx="19">
                    <c:v>Pedro Henrique</c:v>
                  </c:pt>
                  <c:pt idx="20">
                    <c:v>Pedro Silva</c:v>
                  </c:pt>
                  <c:pt idx="21">
                    <c:v>Roberto Mendes</c:v>
                  </c:pt>
                  <c:pt idx="22">
                    <c:v>Roberto Oliveira</c:v>
                  </c:pt>
                  <c:pt idx="23">
                    <c:v>Rodrigo Souza</c:v>
                  </c:pt>
                  <c:pt idx="24">
                    <c:v>Samira Sanches</c:v>
                  </c:pt>
                  <c:pt idx="25">
                    <c:v>Sara Neves</c:v>
                  </c:pt>
                  <c:pt idx="26">
                    <c:v>Sofia Pinto</c:v>
                  </c:pt>
                  <c:pt idx="27">
                    <c:v>Teles Mendes</c:v>
                  </c:pt>
                  <c:pt idx="28">
                    <c:v>Alice Pontes</c:v>
                  </c:pt>
                  <c:pt idx="29">
                    <c:v>Amanda Flores</c:v>
                  </c:pt>
                  <c:pt idx="30">
                    <c:v>Ana Carla</c:v>
                  </c:pt>
                  <c:pt idx="31">
                    <c:v>Ana Maria</c:v>
                  </c:pt>
                  <c:pt idx="32">
                    <c:v>Anderson Silva</c:v>
                  </c:pt>
                  <c:pt idx="33">
                    <c:v>Bernardo Santo</c:v>
                  </c:pt>
                  <c:pt idx="34">
                    <c:v>Bruna Oliveira</c:v>
                  </c:pt>
                  <c:pt idx="35">
                    <c:v>Davi Teres</c:v>
                  </c:pt>
                  <c:pt idx="36">
                    <c:v>Felipe Moraes</c:v>
                  </c:pt>
                  <c:pt idx="37">
                    <c:v>Gabriel Lanza</c:v>
                  </c:pt>
                  <c:pt idx="38">
                    <c:v>Gilberto Oliveira</c:v>
                  </c:pt>
                  <c:pt idx="39">
                    <c:v>Heitor Kuller</c:v>
                  </c:pt>
                  <c:pt idx="40">
                    <c:v>Hellen Maia</c:v>
                  </c:pt>
                  <c:pt idx="41">
                    <c:v>Igor Pedro</c:v>
                  </c:pt>
                  <c:pt idx="42">
                    <c:v>Isabela Pereira</c:v>
                  </c:pt>
                  <c:pt idx="43">
                    <c:v>João Lucas</c:v>
                  </c:pt>
                  <c:pt idx="44">
                    <c:v>João Vitor</c:v>
                  </c:pt>
                  <c:pt idx="45">
                    <c:v>Júlia Matias</c:v>
                  </c:pt>
                  <c:pt idx="46">
                    <c:v>Leticia Manu</c:v>
                  </c:pt>
                  <c:pt idx="47">
                    <c:v>Lívia Carol</c:v>
                  </c:pt>
                  <c:pt idx="48">
                    <c:v>Lourdes Souza</c:v>
                  </c:pt>
                  <c:pt idx="49">
                    <c:v>Luana Pereira</c:v>
                  </c:pt>
                  <c:pt idx="50">
                    <c:v>Luiz Carlos</c:v>
                  </c:pt>
                  <c:pt idx="51">
                    <c:v>Manuela Rita</c:v>
                  </c:pt>
                  <c:pt idx="52">
                    <c:v>Mateus Ragne</c:v>
                  </c:pt>
                  <c:pt idx="53">
                    <c:v>Mateus Yan</c:v>
                  </c:pt>
                  <c:pt idx="54">
                    <c:v>Matheus Enbu</c:v>
                  </c:pt>
                  <c:pt idx="55">
                    <c:v>Pedro Henrique</c:v>
                  </c:pt>
                  <c:pt idx="56">
                    <c:v>Roberto Oliveira</c:v>
                  </c:pt>
                  <c:pt idx="57">
                    <c:v>Rodrigo Souza</c:v>
                  </c:pt>
                  <c:pt idx="58">
                    <c:v>Sofia Pinto</c:v>
                  </c:pt>
                  <c:pt idx="59">
                    <c:v>Teles Mendes</c:v>
                  </c:pt>
                  <c:pt idx="60">
                    <c:v>Alice Pontes</c:v>
                  </c:pt>
                  <c:pt idx="61">
                    <c:v>Amanda Flores</c:v>
                  </c:pt>
                  <c:pt idx="62">
                    <c:v>Amanda Peres</c:v>
                  </c:pt>
                  <c:pt idx="63">
                    <c:v>Ana Carla</c:v>
                  </c:pt>
                  <c:pt idx="64">
                    <c:v>Anderson Silva</c:v>
                  </c:pt>
                  <c:pt idx="65">
                    <c:v>Bernardo Santo</c:v>
                  </c:pt>
                  <c:pt idx="66">
                    <c:v>Davi Teres</c:v>
                  </c:pt>
                  <c:pt idx="67">
                    <c:v>Felipe Moraes</c:v>
                  </c:pt>
                  <c:pt idx="68">
                    <c:v>Gabriel Caval</c:v>
                  </c:pt>
                  <c:pt idx="69">
                    <c:v>Gabriel Lanza</c:v>
                  </c:pt>
                  <c:pt idx="70">
                    <c:v>Gilberto Oliveira</c:v>
                  </c:pt>
                  <c:pt idx="71">
                    <c:v>João Lucas</c:v>
                  </c:pt>
                  <c:pt idx="72">
                    <c:v>João Pedro</c:v>
                  </c:pt>
                  <c:pt idx="73">
                    <c:v>Júlia Matias</c:v>
                  </c:pt>
                  <c:pt idx="74">
                    <c:v>Leticia Manu</c:v>
                  </c:pt>
                  <c:pt idx="75">
                    <c:v>Lívia Carol</c:v>
                  </c:pt>
                  <c:pt idx="76">
                    <c:v>Lourdes Souza</c:v>
                  </c:pt>
                  <c:pt idx="77">
                    <c:v>Lucca Luiz</c:v>
                  </c:pt>
                  <c:pt idx="78">
                    <c:v>Luciana Silva</c:v>
                  </c:pt>
                  <c:pt idx="79">
                    <c:v>Luiz Carlos</c:v>
                  </c:pt>
                  <c:pt idx="80">
                    <c:v>Manuela Rita</c:v>
                  </c:pt>
                  <c:pt idx="81">
                    <c:v>Maria Maia</c:v>
                  </c:pt>
                  <c:pt idx="82">
                    <c:v>Mateus Ragne</c:v>
                  </c:pt>
                  <c:pt idx="83">
                    <c:v>Matheus Enbu</c:v>
                  </c:pt>
                  <c:pt idx="84">
                    <c:v>Miguel Salmão</c:v>
                  </c:pt>
                  <c:pt idx="85">
                    <c:v>Pedro Silva</c:v>
                  </c:pt>
                  <c:pt idx="86">
                    <c:v>Roberto Mendes</c:v>
                  </c:pt>
                  <c:pt idx="87">
                    <c:v>Roberto Oliveira</c:v>
                  </c:pt>
                  <c:pt idx="88">
                    <c:v>Rodrigo Souza</c:v>
                  </c:pt>
                  <c:pt idx="89">
                    <c:v>Sofia Pinto</c:v>
                  </c:pt>
                  <c:pt idx="90">
                    <c:v>Amanda Peres</c:v>
                  </c:pt>
                  <c:pt idx="91">
                    <c:v>Ana Maria</c:v>
                  </c:pt>
                  <c:pt idx="92">
                    <c:v>Bernardo Santo</c:v>
                  </c:pt>
                  <c:pt idx="93">
                    <c:v>Bruna Oliveira</c:v>
                  </c:pt>
                  <c:pt idx="94">
                    <c:v>Davi Teres</c:v>
                  </c:pt>
                  <c:pt idx="95">
                    <c:v>Gabriel Lanza</c:v>
                  </c:pt>
                  <c:pt idx="96">
                    <c:v>Heitor Kuller</c:v>
                  </c:pt>
                  <c:pt idx="97">
                    <c:v>Igor Pedro</c:v>
                  </c:pt>
                  <c:pt idx="98">
                    <c:v>Isabela Pereira</c:v>
                  </c:pt>
                  <c:pt idx="99">
                    <c:v>João Lucas</c:v>
                  </c:pt>
                  <c:pt idx="100">
                    <c:v>João Vitor</c:v>
                  </c:pt>
                  <c:pt idx="101">
                    <c:v>Junior Leite</c:v>
                  </c:pt>
                  <c:pt idx="102">
                    <c:v>Larissa Souza</c:v>
                  </c:pt>
                  <c:pt idx="103">
                    <c:v>Luana Pereira</c:v>
                  </c:pt>
                  <c:pt idx="104">
                    <c:v>Manuela Rita</c:v>
                  </c:pt>
                  <c:pt idx="105">
                    <c:v>Mateus Ragne</c:v>
                  </c:pt>
                  <c:pt idx="106">
                    <c:v>Miguel Salmão</c:v>
                  </c:pt>
                  <c:pt idx="107">
                    <c:v>Pedro Henrique</c:v>
                  </c:pt>
                  <c:pt idx="108">
                    <c:v>Pedro Roberto</c:v>
                  </c:pt>
                  <c:pt idx="109">
                    <c:v>Pedro Silva</c:v>
                  </c:pt>
                  <c:pt idx="110">
                    <c:v>Roberto Mendes</c:v>
                  </c:pt>
                  <c:pt idx="111">
                    <c:v>Roberto Oliveira</c:v>
                  </c:pt>
                  <c:pt idx="112">
                    <c:v>Rodrigo Souza</c:v>
                  </c:pt>
                  <c:pt idx="113">
                    <c:v>Sara Neves</c:v>
                  </c:pt>
                  <c:pt idx="114">
                    <c:v>Sofia Pinto</c:v>
                  </c:pt>
                  <c:pt idx="115">
                    <c:v>Teles Mendes</c:v>
                  </c:pt>
                  <c:pt idx="116">
                    <c:v>Amanda Peres</c:v>
                  </c:pt>
                  <c:pt idx="117">
                    <c:v>Ana Carla</c:v>
                  </c:pt>
                  <c:pt idx="118">
                    <c:v>Arthur Urtigo</c:v>
                  </c:pt>
                  <c:pt idx="119">
                    <c:v>Bernardo Santo</c:v>
                  </c:pt>
                  <c:pt idx="120">
                    <c:v>Gabriel Caval</c:v>
                  </c:pt>
                  <c:pt idx="121">
                    <c:v>Gabriel Lanza</c:v>
                  </c:pt>
                  <c:pt idx="122">
                    <c:v>Hellen Maia</c:v>
                  </c:pt>
                  <c:pt idx="123">
                    <c:v>Igor Pedro</c:v>
                  </c:pt>
                  <c:pt idx="124">
                    <c:v>Isabela Pereira</c:v>
                  </c:pt>
                  <c:pt idx="125">
                    <c:v>Júlia Matias</c:v>
                  </c:pt>
                  <c:pt idx="126">
                    <c:v>Junior Leite</c:v>
                  </c:pt>
                  <c:pt idx="127">
                    <c:v>Larissa Souza</c:v>
                  </c:pt>
                  <c:pt idx="128">
                    <c:v>Leonardo Freire</c:v>
                  </c:pt>
                  <c:pt idx="129">
                    <c:v>Leticia Manu</c:v>
                  </c:pt>
                  <c:pt idx="130">
                    <c:v>Luana Pereira</c:v>
                  </c:pt>
                  <c:pt idx="131">
                    <c:v>Luciana Silva</c:v>
                  </c:pt>
                  <c:pt idx="132">
                    <c:v>Luiz Carlos</c:v>
                  </c:pt>
                  <c:pt idx="133">
                    <c:v>Matheus Enbu</c:v>
                  </c:pt>
                  <c:pt idx="134">
                    <c:v>Pedro Roberto</c:v>
                  </c:pt>
                  <c:pt idx="135">
                    <c:v>Pedro Silva</c:v>
                  </c:pt>
                  <c:pt idx="136">
                    <c:v>Roberto Mendes</c:v>
                  </c:pt>
                  <c:pt idx="137">
                    <c:v>Roberto Oliveira</c:v>
                  </c:pt>
                  <c:pt idx="138">
                    <c:v>Rodrigo Souza</c:v>
                  </c:pt>
                  <c:pt idx="139">
                    <c:v>Ryan Soares</c:v>
                  </c:pt>
                  <c:pt idx="140">
                    <c:v>Samira Sanches</c:v>
                  </c:pt>
                  <c:pt idx="141">
                    <c:v>Teles Mendes</c:v>
                  </c:pt>
                  <c:pt idx="142">
                    <c:v>Alice Pontes</c:v>
                  </c:pt>
                  <c:pt idx="143">
                    <c:v>Arthur Urtigo</c:v>
                  </c:pt>
                  <c:pt idx="144">
                    <c:v>Bernardo Santo</c:v>
                  </c:pt>
                  <c:pt idx="145">
                    <c:v>Bruna Oliveira</c:v>
                  </c:pt>
                  <c:pt idx="146">
                    <c:v>Gabriel Caval</c:v>
                  </c:pt>
                  <c:pt idx="147">
                    <c:v>Gabriel Lanza</c:v>
                  </c:pt>
                  <c:pt idx="148">
                    <c:v>Gilberto Oliveira</c:v>
                  </c:pt>
                  <c:pt idx="149">
                    <c:v>Heitor Kuller</c:v>
                  </c:pt>
                  <c:pt idx="150">
                    <c:v>Hellen Maia</c:v>
                  </c:pt>
                  <c:pt idx="151">
                    <c:v>Igor Pedro</c:v>
                  </c:pt>
                  <c:pt idx="152">
                    <c:v>Isabela Pereira</c:v>
                  </c:pt>
                  <c:pt idx="153">
                    <c:v>João Pedro</c:v>
                  </c:pt>
                  <c:pt idx="154">
                    <c:v>Junior Azevedo</c:v>
                  </c:pt>
                  <c:pt idx="155">
                    <c:v>Junior Leite</c:v>
                  </c:pt>
                  <c:pt idx="156">
                    <c:v>Larissa Souza</c:v>
                  </c:pt>
                  <c:pt idx="157">
                    <c:v>Leonardo Freire</c:v>
                  </c:pt>
                  <c:pt idx="158">
                    <c:v>Luana Pereira</c:v>
                  </c:pt>
                  <c:pt idx="159">
                    <c:v>Lucca Luiz</c:v>
                  </c:pt>
                  <c:pt idx="160">
                    <c:v>Luiz Carlos</c:v>
                  </c:pt>
                  <c:pt idx="161">
                    <c:v>Maria Maia</c:v>
                  </c:pt>
                  <c:pt idx="162">
                    <c:v>Mateus Yan</c:v>
                  </c:pt>
                  <c:pt idx="163">
                    <c:v>Matheus Enbu</c:v>
                  </c:pt>
                  <c:pt idx="164">
                    <c:v>Pedro Henrique</c:v>
                  </c:pt>
                  <c:pt idx="165">
                    <c:v>Pedro Silva</c:v>
                  </c:pt>
                  <c:pt idx="166">
                    <c:v>Roberto Oliveira</c:v>
                  </c:pt>
                  <c:pt idx="167">
                    <c:v>Ryan Soares</c:v>
                  </c:pt>
                  <c:pt idx="168">
                    <c:v>Sara Neves</c:v>
                  </c:pt>
                  <c:pt idx="169">
                    <c:v>Alice Pontes</c:v>
                  </c:pt>
                  <c:pt idx="170">
                    <c:v>Amanda Flores</c:v>
                  </c:pt>
                  <c:pt idx="171">
                    <c:v>Amanda Peres</c:v>
                  </c:pt>
                  <c:pt idx="172">
                    <c:v>Anderson Silva</c:v>
                  </c:pt>
                  <c:pt idx="173">
                    <c:v>Arthur Urtigo</c:v>
                  </c:pt>
                  <c:pt idx="174">
                    <c:v>Gabriel Lanza</c:v>
                  </c:pt>
                  <c:pt idx="175">
                    <c:v>Isabela Pereira</c:v>
                  </c:pt>
                  <c:pt idx="176">
                    <c:v>João Pedro</c:v>
                  </c:pt>
                  <c:pt idx="177">
                    <c:v>Júlia Matias</c:v>
                  </c:pt>
                  <c:pt idx="178">
                    <c:v>Junior Azevedo</c:v>
                  </c:pt>
                  <c:pt idx="179">
                    <c:v>Junior Leite</c:v>
                  </c:pt>
                  <c:pt idx="180">
                    <c:v>Leticia Manu</c:v>
                  </c:pt>
                  <c:pt idx="181">
                    <c:v>Lívia Carol</c:v>
                  </c:pt>
                  <c:pt idx="182">
                    <c:v>Luana Pereira</c:v>
                  </c:pt>
                  <c:pt idx="183">
                    <c:v>Lucca Luiz</c:v>
                  </c:pt>
                  <c:pt idx="184">
                    <c:v>Luiz Carlos</c:v>
                  </c:pt>
                  <c:pt idx="185">
                    <c:v>Manuela Rita</c:v>
                  </c:pt>
                  <c:pt idx="186">
                    <c:v>Matheus Enbu</c:v>
                  </c:pt>
                  <c:pt idx="187">
                    <c:v>Miguel Salmão</c:v>
                  </c:pt>
                  <c:pt idx="188">
                    <c:v>Pedro Henrique</c:v>
                  </c:pt>
                  <c:pt idx="189">
                    <c:v>Pedro Roberto</c:v>
                  </c:pt>
                  <c:pt idx="190">
                    <c:v>Pedro Silva</c:v>
                  </c:pt>
                  <c:pt idx="191">
                    <c:v>Roberto Mendes</c:v>
                  </c:pt>
                  <c:pt idx="192">
                    <c:v>Roberto Oliveira</c:v>
                  </c:pt>
                  <c:pt idx="193">
                    <c:v>Sara Neves</c:v>
                  </c:pt>
                  <c:pt idx="194">
                    <c:v>Sofia Pinto</c:v>
                  </c:pt>
                  <c:pt idx="195">
                    <c:v>Alice Pontes</c:v>
                  </c:pt>
                  <c:pt idx="196">
                    <c:v>Ana Carla</c:v>
                  </c:pt>
                  <c:pt idx="197">
                    <c:v>Anderson Silva</c:v>
                  </c:pt>
                  <c:pt idx="198">
                    <c:v>Davi Teres</c:v>
                  </c:pt>
                  <c:pt idx="199">
                    <c:v>Felipe Moraes</c:v>
                  </c:pt>
                  <c:pt idx="200">
                    <c:v>Gabriel Caval</c:v>
                  </c:pt>
                  <c:pt idx="201">
                    <c:v>Gabriel Lanza</c:v>
                  </c:pt>
                  <c:pt idx="202">
                    <c:v>Heitor Kuller</c:v>
                  </c:pt>
                  <c:pt idx="203">
                    <c:v>Hellen Maia</c:v>
                  </c:pt>
                  <c:pt idx="204">
                    <c:v>João Lucas</c:v>
                  </c:pt>
                  <c:pt idx="205">
                    <c:v>João Vitor</c:v>
                  </c:pt>
                  <c:pt idx="206">
                    <c:v>Junior Leite</c:v>
                  </c:pt>
                  <c:pt idx="207">
                    <c:v>Leonardo Freire</c:v>
                  </c:pt>
                  <c:pt idx="208">
                    <c:v>Leticia Manu</c:v>
                  </c:pt>
                  <c:pt idx="209">
                    <c:v>Lívia Carol</c:v>
                  </c:pt>
                  <c:pt idx="210">
                    <c:v>Lourdes Souza</c:v>
                  </c:pt>
                  <c:pt idx="211">
                    <c:v>Luana Pereira</c:v>
                  </c:pt>
                  <c:pt idx="212">
                    <c:v>Luciana Silva</c:v>
                  </c:pt>
                  <c:pt idx="213">
                    <c:v>Manuela Rita</c:v>
                  </c:pt>
                  <c:pt idx="214">
                    <c:v>Maria Maia</c:v>
                  </c:pt>
                  <c:pt idx="215">
                    <c:v>Matheus Enbu</c:v>
                  </c:pt>
                  <c:pt idx="216">
                    <c:v>Pedro Henrique</c:v>
                  </c:pt>
                  <c:pt idx="217">
                    <c:v>Roberto Mendes</c:v>
                  </c:pt>
                  <c:pt idx="218">
                    <c:v>Ryan Soares</c:v>
                  </c:pt>
                  <c:pt idx="219">
                    <c:v>Samira Sanches</c:v>
                  </c:pt>
                  <c:pt idx="220">
                    <c:v>Sara Neves</c:v>
                  </c:pt>
                  <c:pt idx="221">
                    <c:v>Sofia Pinto</c:v>
                  </c:pt>
                  <c:pt idx="222">
                    <c:v>Teles Mendes</c:v>
                  </c:pt>
                  <c:pt idx="223">
                    <c:v>Amanda Flores</c:v>
                  </c:pt>
                  <c:pt idx="224">
                    <c:v>Ana Carla</c:v>
                  </c:pt>
                  <c:pt idx="225">
                    <c:v>Ana Maria</c:v>
                  </c:pt>
                  <c:pt idx="226">
                    <c:v>Anderson Silva</c:v>
                  </c:pt>
                  <c:pt idx="227">
                    <c:v>Bernardo Santo</c:v>
                  </c:pt>
                  <c:pt idx="228">
                    <c:v>Davi Teres</c:v>
                  </c:pt>
                  <c:pt idx="229">
                    <c:v>Felipe Moraes</c:v>
                  </c:pt>
                  <c:pt idx="230">
                    <c:v>Gilberto Oliveira</c:v>
                  </c:pt>
                  <c:pt idx="231">
                    <c:v>Heitor Kuller</c:v>
                  </c:pt>
                  <c:pt idx="232">
                    <c:v>Igor Pedro</c:v>
                  </c:pt>
                  <c:pt idx="233">
                    <c:v>João Lucas</c:v>
                  </c:pt>
                  <c:pt idx="234">
                    <c:v>João Vitor</c:v>
                  </c:pt>
                  <c:pt idx="235">
                    <c:v>Júlia Matias</c:v>
                  </c:pt>
                  <c:pt idx="236">
                    <c:v>Junior Leite</c:v>
                  </c:pt>
                  <c:pt idx="237">
                    <c:v>Leonardo Freire</c:v>
                  </c:pt>
                  <c:pt idx="238">
                    <c:v>Lívia Carol</c:v>
                  </c:pt>
                  <c:pt idx="239">
                    <c:v>Lourdes Souza</c:v>
                  </c:pt>
                  <c:pt idx="240">
                    <c:v>Luciana Silva</c:v>
                  </c:pt>
                  <c:pt idx="241">
                    <c:v>Manuela Rita</c:v>
                  </c:pt>
                  <c:pt idx="242">
                    <c:v>Maria Maia</c:v>
                  </c:pt>
                  <c:pt idx="243">
                    <c:v>Mateus Ragne</c:v>
                  </c:pt>
                  <c:pt idx="244">
                    <c:v>Matheus Enbu</c:v>
                  </c:pt>
                  <c:pt idx="245">
                    <c:v>Pedro Henrique</c:v>
                  </c:pt>
                  <c:pt idx="246">
                    <c:v>Pedro Roberto</c:v>
                  </c:pt>
                  <c:pt idx="247">
                    <c:v>Roberto Mendes</c:v>
                  </c:pt>
                  <c:pt idx="248">
                    <c:v>Roberto Oliveira</c:v>
                  </c:pt>
                  <c:pt idx="249">
                    <c:v>Rodrigo Souza</c:v>
                  </c:pt>
                  <c:pt idx="250">
                    <c:v>Ryan Soares</c:v>
                  </c:pt>
                  <c:pt idx="251">
                    <c:v>Sofia Pinto</c:v>
                  </c:pt>
                  <c:pt idx="252">
                    <c:v>Teles Mendes</c:v>
                  </c:pt>
                  <c:pt idx="253">
                    <c:v>Alice Pontes</c:v>
                  </c:pt>
                  <c:pt idx="254">
                    <c:v>Ana Carla</c:v>
                  </c:pt>
                  <c:pt idx="255">
                    <c:v>Ana Maria</c:v>
                  </c:pt>
                  <c:pt idx="256">
                    <c:v>Gabriel Caval</c:v>
                  </c:pt>
                  <c:pt idx="257">
                    <c:v>Gabriel Lanza</c:v>
                  </c:pt>
                  <c:pt idx="258">
                    <c:v>Hellen Maia</c:v>
                  </c:pt>
                  <c:pt idx="259">
                    <c:v>João Lucas</c:v>
                  </c:pt>
                  <c:pt idx="260">
                    <c:v>João Vitor</c:v>
                  </c:pt>
                  <c:pt idx="261">
                    <c:v>Júlia Matias</c:v>
                  </c:pt>
                  <c:pt idx="262">
                    <c:v>Junior Azevedo</c:v>
                  </c:pt>
                  <c:pt idx="263">
                    <c:v>Junior Leite</c:v>
                  </c:pt>
                  <c:pt idx="264">
                    <c:v>Larissa Souza</c:v>
                  </c:pt>
                  <c:pt idx="265">
                    <c:v>Leonardo Freire</c:v>
                  </c:pt>
                  <c:pt idx="266">
                    <c:v>Leticia Manu</c:v>
                  </c:pt>
                  <c:pt idx="267">
                    <c:v>Lívia Carol</c:v>
                  </c:pt>
                  <c:pt idx="268">
                    <c:v>Lourdes Souza</c:v>
                  </c:pt>
                  <c:pt idx="269">
                    <c:v>Luana Pereira</c:v>
                  </c:pt>
                  <c:pt idx="270">
                    <c:v>Lucca Luiz</c:v>
                  </c:pt>
                  <c:pt idx="271">
                    <c:v>Luiz Carlos</c:v>
                  </c:pt>
                  <c:pt idx="272">
                    <c:v>Manuela Rita</c:v>
                  </c:pt>
                  <c:pt idx="273">
                    <c:v>Mateus Ragne</c:v>
                  </c:pt>
                  <c:pt idx="274">
                    <c:v>Mateus Yan</c:v>
                  </c:pt>
                  <c:pt idx="275">
                    <c:v>Miguel Salmão</c:v>
                  </c:pt>
                  <c:pt idx="276">
                    <c:v>Ryan Soares</c:v>
                  </c:pt>
                  <c:pt idx="277">
                    <c:v>Samira Sanches</c:v>
                  </c:pt>
                  <c:pt idx="278">
                    <c:v>Sara Neves</c:v>
                  </c:pt>
                  <c:pt idx="279">
                    <c:v>Sofia Pinto</c:v>
                  </c:pt>
                  <c:pt idx="280">
                    <c:v>Alice Pontes</c:v>
                  </c:pt>
                  <c:pt idx="281">
                    <c:v>Amanda Flores</c:v>
                  </c:pt>
                  <c:pt idx="282">
                    <c:v>Amanda Peres</c:v>
                  </c:pt>
                  <c:pt idx="283">
                    <c:v>Ana Carla</c:v>
                  </c:pt>
                  <c:pt idx="284">
                    <c:v>Ana Maria</c:v>
                  </c:pt>
                  <c:pt idx="285">
                    <c:v>Anderson Silva</c:v>
                  </c:pt>
                  <c:pt idx="286">
                    <c:v>Bruna Oliveira</c:v>
                  </c:pt>
                  <c:pt idx="287">
                    <c:v>Davi Teres</c:v>
                  </c:pt>
                  <c:pt idx="288">
                    <c:v>Felipe Moraes</c:v>
                  </c:pt>
                  <c:pt idx="289">
                    <c:v>Gabriel Caval</c:v>
                  </c:pt>
                  <c:pt idx="290">
                    <c:v>Heitor Kuller</c:v>
                  </c:pt>
                  <c:pt idx="291">
                    <c:v>Hellen Maia</c:v>
                  </c:pt>
                  <c:pt idx="292">
                    <c:v>Igor Pedro</c:v>
                  </c:pt>
                  <c:pt idx="293">
                    <c:v>Isabela Pereira</c:v>
                  </c:pt>
                  <c:pt idx="294">
                    <c:v>João Lucas</c:v>
                  </c:pt>
                  <c:pt idx="295">
                    <c:v>João Pedro</c:v>
                  </c:pt>
                  <c:pt idx="296">
                    <c:v>Júlia Matias</c:v>
                  </c:pt>
                  <c:pt idx="297">
                    <c:v>Junior Azevedo</c:v>
                  </c:pt>
                  <c:pt idx="298">
                    <c:v>Lívia Carol</c:v>
                  </c:pt>
                  <c:pt idx="299">
                    <c:v>Luana Pereira</c:v>
                  </c:pt>
                  <c:pt idx="300">
                    <c:v>Luiz Carlos</c:v>
                  </c:pt>
                  <c:pt idx="301">
                    <c:v>Manuela Rita</c:v>
                  </c:pt>
                  <c:pt idx="302">
                    <c:v>Maria Maia</c:v>
                  </c:pt>
                  <c:pt idx="303">
                    <c:v>Mateus Yan</c:v>
                  </c:pt>
                  <c:pt idx="304">
                    <c:v>Matheus Enbu</c:v>
                  </c:pt>
                  <c:pt idx="305">
                    <c:v>Miguel Salmão</c:v>
                  </c:pt>
                  <c:pt idx="306">
                    <c:v>Pedro Henrique</c:v>
                  </c:pt>
                  <c:pt idx="307">
                    <c:v>Roberto Mendes</c:v>
                  </c:pt>
                  <c:pt idx="308">
                    <c:v>Rodrigo Souza</c:v>
                  </c:pt>
                  <c:pt idx="309">
                    <c:v>Samira Sanches</c:v>
                  </c:pt>
                  <c:pt idx="310">
                    <c:v>Sofia Pinto</c:v>
                  </c:pt>
                  <c:pt idx="311">
                    <c:v>Teles Mendes</c:v>
                  </c:pt>
                  <c:pt idx="312">
                    <c:v>Amanda Flores</c:v>
                  </c:pt>
                  <c:pt idx="313">
                    <c:v>Amanda Peres</c:v>
                  </c:pt>
                  <c:pt idx="314">
                    <c:v>Ana Maria</c:v>
                  </c:pt>
                  <c:pt idx="315">
                    <c:v>Bernardo Santo</c:v>
                  </c:pt>
                  <c:pt idx="316">
                    <c:v>Bruna Oliveira</c:v>
                  </c:pt>
                  <c:pt idx="317">
                    <c:v>Davi Teres</c:v>
                  </c:pt>
                  <c:pt idx="318">
                    <c:v>Felipe Moraes</c:v>
                  </c:pt>
                  <c:pt idx="319">
                    <c:v>Gilberto Oliveira</c:v>
                  </c:pt>
                  <c:pt idx="320">
                    <c:v>Heitor Kuller</c:v>
                  </c:pt>
                  <c:pt idx="321">
                    <c:v>Hellen Maia</c:v>
                  </c:pt>
                  <c:pt idx="322">
                    <c:v>Igor Pedro</c:v>
                  </c:pt>
                  <c:pt idx="323">
                    <c:v>João Lucas</c:v>
                  </c:pt>
                  <c:pt idx="324">
                    <c:v>João Vitor</c:v>
                  </c:pt>
                  <c:pt idx="325">
                    <c:v>Junior Leite</c:v>
                  </c:pt>
                  <c:pt idx="326">
                    <c:v>Larissa Souza</c:v>
                  </c:pt>
                  <c:pt idx="327">
                    <c:v>Leonardo Freire</c:v>
                  </c:pt>
                  <c:pt idx="328">
                    <c:v>Leticia Manu</c:v>
                  </c:pt>
                  <c:pt idx="329">
                    <c:v>Lívia Carol</c:v>
                  </c:pt>
                  <c:pt idx="330">
                    <c:v>Lourdes Souza</c:v>
                  </c:pt>
                  <c:pt idx="331">
                    <c:v>Luana Pereira</c:v>
                  </c:pt>
                  <c:pt idx="332">
                    <c:v>Lucca Luiz</c:v>
                  </c:pt>
                  <c:pt idx="333">
                    <c:v>Luciana Silva</c:v>
                  </c:pt>
                  <c:pt idx="334">
                    <c:v>Mateus Ragne</c:v>
                  </c:pt>
                  <c:pt idx="335">
                    <c:v>Mateus Yan</c:v>
                  </c:pt>
                  <c:pt idx="336">
                    <c:v>Matheus Enbu</c:v>
                  </c:pt>
                  <c:pt idx="337">
                    <c:v>Pedro Silva</c:v>
                  </c:pt>
                  <c:pt idx="338">
                    <c:v>Roberto Mendes</c:v>
                  </c:pt>
                  <c:pt idx="339">
                    <c:v>Roberto Oliveira</c:v>
                  </c:pt>
                  <c:pt idx="340">
                    <c:v>Ryan Soares</c:v>
                  </c:pt>
                  <c:pt idx="341">
                    <c:v>Samira Sanches</c:v>
                  </c:pt>
                  <c:pt idx="342">
                    <c:v>Sofia Pinto</c:v>
                  </c:pt>
                </c:lvl>
                <c:lvl>
                  <c:pt idx="0">
                    <c:v>1</c:v>
                  </c:pt>
                  <c:pt idx="28">
                    <c:v>2</c:v>
                  </c:pt>
                  <c:pt idx="60">
                    <c:v>3</c:v>
                  </c:pt>
                  <c:pt idx="90">
                    <c:v>4</c:v>
                  </c:pt>
                  <c:pt idx="116">
                    <c:v>5</c:v>
                  </c:pt>
                  <c:pt idx="142">
                    <c:v>6</c:v>
                  </c:pt>
                  <c:pt idx="169">
                    <c:v>7</c:v>
                  </c:pt>
                  <c:pt idx="195">
                    <c:v>8</c:v>
                  </c:pt>
                  <c:pt idx="223">
                    <c:v>9</c:v>
                  </c:pt>
                  <c:pt idx="253">
                    <c:v>10</c:v>
                  </c:pt>
                  <c:pt idx="280">
                    <c:v>11</c:v>
                  </c:pt>
                  <c:pt idx="312">
                    <c:v>12</c:v>
                  </c:pt>
                </c:lvl>
              </c:multiLvlStrCache>
            </c:multiLvlStrRef>
          </c:cat>
          <c:val>
            <c:numRef>
              <c:f>Planilha5!$B$7:$B$362</c:f>
              <c:numCache>
                <c:formatCode>_("R$"* #,##0.00_);_("R$"* \(#,##0.00\);_("R$"* "-"??_);_(@_)</c:formatCode>
                <c:ptCount val="343"/>
                <c:pt idx="0">
                  <c:v>35</c:v>
                </c:pt>
                <c:pt idx="1">
                  <c:v>5600</c:v>
                </c:pt>
                <c:pt idx="2">
                  <c:v>800</c:v>
                </c:pt>
                <c:pt idx="3">
                  <c:v>510</c:v>
                </c:pt>
                <c:pt idx="4">
                  <c:v>3200</c:v>
                </c:pt>
                <c:pt idx="5">
                  <c:v>2200</c:v>
                </c:pt>
                <c:pt idx="6">
                  <c:v>240</c:v>
                </c:pt>
                <c:pt idx="7">
                  <c:v>100</c:v>
                </c:pt>
                <c:pt idx="8">
                  <c:v>860</c:v>
                </c:pt>
                <c:pt idx="9">
                  <c:v>2280</c:v>
                </c:pt>
                <c:pt idx="10">
                  <c:v>90</c:v>
                </c:pt>
                <c:pt idx="11">
                  <c:v>3200</c:v>
                </c:pt>
                <c:pt idx="12">
                  <c:v>540</c:v>
                </c:pt>
                <c:pt idx="13">
                  <c:v>670</c:v>
                </c:pt>
                <c:pt idx="14">
                  <c:v>1100</c:v>
                </c:pt>
                <c:pt idx="15">
                  <c:v>120</c:v>
                </c:pt>
                <c:pt idx="16">
                  <c:v>350</c:v>
                </c:pt>
                <c:pt idx="17">
                  <c:v>1280</c:v>
                </c:pt>
                <c:pt idx="18">
                  <c:v>80</c:v>
                </c:pt>
                <c:pt idx="19">
                  <c:v>35</c:v>
                </c:pt>
                <c:pt idx="20">
                  <c:v>1200</c:v>
                </c:pt>
                <c:pt idx="21">
                  <c:v>2028</c:v>
                </c:pt>
                <c:pt idx="22">
                  <c:v>70</c:v>
                </c:pt>
                <c:pt idx="23">
                  <c:v>600</c:v>
                </c:pt>
                <c:pt idx="24">
                  <c:v>1500</c:v>
                </c:pt>
                <c:pt idx="25">
                  <c:v>980</c:v>
                </c:pt>
                <c:pt idx="26">
                  <c:v>76</c:v>
                </c:pt>
                <c:pt idx="27">
                  <c:v>1800</c:v>
                </c:pt>
                <c:pt idx="28">
                  <c:v>2700</c:v>
                </c:pt>
                <c:pt idx="29">
                  <c:v>400</c:v>
                </c:pt>
                <c:pt idx="30">
                  <c:v>1635</c:v>
                </c:pt>
                <c:pt idx="31">
                  <c:v>60</c:v>
                </c:pt>
                <c:pt idx="32">
                  <c:v>700</c:v>
                </c:pt>
                <c:pt idx="33">
                  <c:v>1050</c:v>
                </c:pt>
                <c:pt idx="34">
                  <c:v>245</c:v>
                </c:pt>
                <c:pt idx="35">
                  <c:v>3000</c:v>
                </c:pt>
                <c:pt idx="36">
                  <c:v>1200</c:v>
                </c:pt>
                <c:pt idx="37">
                  <c:v>240</c:v>
                </c:pt>
                <c:pt idx="38">
                  <c:v>230</c:v>
                </c:pt>
                <c:pt idx="39">
                  <c:v>340</c:v>
                </c:pt>
                <c:pt idx="40">
                  <c:v>5760</c:v>
                </c:pt>
                <c:pt idx="41">
                  <c:v>800</c:v>
                </c:pt>
                <c:pt idx="42">
                  <c:v>180</c:v>
                </c:pt>
                <c:pt idx="43">
                  <c:v>420</c:v>
                </c:pt>
                <c:pt idx="44">
                  <c:v>600</c:v>
                </c:pt>
                <c:pt idx="45">
                  <c:v>70</c:v>
                </c:pt>
                <c:pt idx="46">
                  <c:v>1050</c:v>
                </c:pt>
                <c:pt idx="47">
                  <c:v>120</c:v>
                </c:pt>
                <c:pt idx="48">
                  <c:v>800</c:v>
                </c:pt>
                <c:pt idx="49">
                  <c:v>360</c:v>
                </c:pt>
                <c:pt idx="50">
                  <c:v>60</c:v>
                </c:pt>
                <c:pt idx="51">
                  <c:v>1500</c:v>
                </c:pt>
                <c:pt idx="52">
                  <c:v>810</c:v>
                </c:pt>
                <c:pt idx="53">
                  <c:v>540</c:v>
                </c:pt>
                <c:pt idx="54">
                  <c:v>3398</c:v>
                </c:pt>
                <c:pt idx="55">
                  <c:v>1828</c:v>
                </c:pt>
                <c:pt idx="56">
                  <c:v>2400</c:v>
                </c:pt>
                <c:pt idx="57">
                  <c:v>500</c:v>
                </c:pt>
                <c:pt idx="58">
                  <c:v>5600</c:v>
                </c:pt>
                <c:pt idx="59">
                  <c:v>250</c:v>
                </c:pt>
                <c:pt idx="60">
                  <c:v>210</c:v>
                </c:pt>
                <c:pt idx="61">
                  <c:v>170</c:v>
                </c:pt>
                <c:pt idx="62">
                  <c:v>900</c:v>
                </c:pt>
                <c:pt idx="63">
                  <c:v>40</c:v>
                </c:pt>
                <c:pt idx="64">
                  <c:v>180</c:v>
                </c:pt>
                <c:pt idx="65">
                  <c:v>2700</c:v>
                </c:pt>
                <c:pt idx="66">
                  <c:v>1800</c:v>
                </c:pt>
                <c:pt idx="67">
                  <c:v>140</c:v>
                </c:pt>
                <c:pt idx="68">
                  <c:v>76</c:v>
                </c:pt>
                <c:pt idx="69">
                  <c:v>750</c:v>
                </c:pt>
                <c:pt idx="70">
                  <c:v>1600</c:v>
                </c:pt>
                <c:pt idx="71">
                  <c:v>90</c:v>
                </c:pt>
                <c:pt idx="72">
                  <c:v>1600</c:v>
                </c:pt>
                <c:pt idx="73">
                  <c:v>350</c:v>
                </c:pt>
                <c:pt idx="74">
                  <c:v>35</c:v>
                </c:pt>
                <c:pt idx="75">
                  <c:v>180</c:v>
                </c:pt>
                <c:pt idx="76">
                  <c:v>400</c:v>
                </c:pt>
                <c:pt idx="77">
                  <c:v>180</c:v>
                </c:pt>
                <c:pt idx="78">
                  <c:v>76</c:v>
                </c:pt>
                <c:pt idx="79">
                  <c:v>800</c:v>
                </c:pt>
                <c:pt idx="80">
                  <c:v>30</c:v>
                </c:pt>
                <c:pt idx="81">
                  <c:v>1600</c:v>
                </c:pt>
                <c:pt idx="82">
                  <c:v>3310</c:v>
                </c:pt>
                <c:pt idx="83">
                  <c:v>185</c:v>
                </c:pt>
                <c:pt idx="84">
                  <c:v>1040</c:v>
                </c:pt>
                <c:pt idx="85">
                  <c:v>270</c:v>
                </c:pt>
                <c:pt idx="86">
                  <c:v>2200</c:v>
                </c:pt>
                <c:pt idx="87">
                  <c:v>1800</c:v>
                </c:pt>
                <c:pt idx="88">
                  <c:v>1500</c:v>
                </c:pt>
                <c:pt idx="89">
                  <c:v>1200</c:v>
                </c:pt>
                <c:pt idx="90">
                  <c:v>8400</c:v>
                </c:pt>
                <c:pt idx="91">
                  <c:v>3200</c:v>
                </c:pt>
                <c:pt idx="92">
                  <c:v>1290</c:v>
                </c:pt>
                <c:pt idx="93">
                  <c:v>105</c:v>
                </c:pt>
                <c:pt idx="94">
                  <c:v>270</c:v>
                </c:pt>
                <c:pt idx="95">
                  <c:v>228</c:v>
                </c:pt>
                <c:pt idx="96">
                  <c:v>976</c:v>
                </c:pt>
                <c:pt idx="97">
                  <c:v>250</c:v>
                </c:pt>
                <c:pt idx="98">
                  <c:v>1500</c:v>
                </c:pt>
                <c:pt idx="99">
                  <c:v>320</c:v>
                </c:pt>
                <c:pt idx="100">
                  <c:v>790</c:v>
                </c:pt>
                <c:pt idx="101">
                  <c:v>60</c:v>
                </c:pt>
                <c:pt idx="102">
                  <c:v>1380</c:v>
                </c:pt>
                <c:pt idx="103">
                  <c:v>70</c:v>
                </c:pt>
                <c:pt idx="104">
                  <c:v>2400</c:v>
                </c:pt>
                <c:pt idx="105">
                  <c:v>180</c:v>
                </c:pt>
                <c:pt idx="106">
                  <c:v>9300</c:v>
                </c:pt>
                <c:pt idx="107">
                  <c:v>310</c:v>
                </c:pt>
                <c:pt idx="108">
                  <c:v>1450</c:v>
                </c:pt>
                <c:pt idx="109">
                  <c:v>1320</c:v>
                </c:pt>
                <c:pt idx="110">
                  <c:v>1860</c:v>
                </c:pt>
                <c:pt idx="111">
                  <c:v>660</c:v>
                </c:pt>
                <c:pt idx="112">
                  <c:v>1345</c:v>
                </c:pt>
                <c:pt idx="113">
                  <c:v>160</c:v>
                </c:pt>
                <c:pt idx="114">
                  <c:v>3760</c:v>
                </c:pt>
                <c:pt idx="115">
                  <c:v>270</c:v>
                </c:pt>
                <c:pt idx="116">
                  <c:v>120</c:v>
                </c:pt>
                <c:pt idx="117">
                  <c:v>160</c:v>
                </c:pt>
                <c:pt idx="118">
                  <c:v>418</c:v>
                </c:pt>
                <c:pt idx="119">
                  <c:v>90</c:v>
                </c:pt>
                <c:pt idx="120">
                  <c:v>1550</c:v>
                </c:pt>
                <c:pt idx="121">
                  <c:v>100</c:v>
                </c:pt>
                <c:pt idx="122">
                  <c:v>340</c:v>
                </c:pt>
                <c:pt idx="123">
                  <c:v>700</c:v>
                </c:pt>
                <c:pt idx="124">
                  <c:v>1025</c:v>
                </c:pt>
                <c:pt idx="125">
                  <c:v>440</c:v>
                </c:pt>
                <c:pt idx="126">
                  <c:v>2980</c:v>
                </c:pt>
                <c:pt idx="127">
                  <c:v>400</c:v>
                </c:pt>
                <c:pt idx="128">
                  <c:v>140</c:v>
                </c:pt>
                <c:pt idx="129">
                  <c:v>2130</c:v>
                </c:pt>
                <c:pt idx="130">
                  <c:v>1600</c:v>
                </c:pt>
                <c:pt idx="131">
                  <c:v>876</c:v>
                </c:pt>
                <c:pt idx="132">
                  <c:v>1890</c:v>
                </c:pt>
                <c:pt idx="133">
                  <c:v>80</c:v>
                </c:pt>
                <c:pt idx="134">
                  <c:v>500</c:v>
                </c:pt>
                <c:pt idx="135">
                  <c:v>1410</c:v>
                </c:pt>
                <c:pt idx="136">
                  <c:v>2300</c:v>
                </c:pt>
                <c:pt idx="137">
                  <c:v>400</c:v>
                </c:pt>
                <c:pt idx="138">
                  <c:v>500</c:v>
                </c:pt>
                <c:pt idx="139">
                  <c:v>1200</c:v>
                </c:pt>
                <c:pt idx="140">
                  <c:v>540</c:v>
                </c:pt>
                <c:pt idx="141">
                  <c:v>3200</c:v>
                </c:pt>
                <c:pt idx="142">
                  <c:v>900</c:v>
                </c:pt>
                <c:pt idx="143">
                  <c:v>1260</c:v>
                </c:pt>
                <c:pt idx="144">
                  <c:v>1040</c:v>
                </c:pt>
                <c:pt idx="145">
                  <c:v>750</c:v>
                </c:pt>
                <c:pt idx="146">
                  <c:v>5600</c:v>
                </c:pt>
                <c:pt idx="147">
                  <c:v>80</c:v>
                </c:pt>
                <c:pt idx="148">
                  <c:v>105</c:v>
                </c:pt>
                <c:pt idx="149">
                  <c:v>2200</c:v>
                </c:pt>
                <c:pt idx="150">
                  <c:v>920</c:v>
                </c:pt>
                <c:pt idx="151">
                  <c:v>340</c:v>
                </c:pt>
                <c:pt idx="152">
                  <c:v>152</c:v>
                </c:pt>
                <c:pt idx="153">
                  <c:v>976</c:v>
                </c:pt>
                <c:pt idx="154">
                  <c:v>540</c:v>
                </c:pt>
                <c:pt idx="155">
                  <c:v>35</c:v>
                </c:pt>
                <c:pt idx="156">
                  <c:v>480</c:v>
                </c:pt>
                <c:pt idx="157">
                  <c:v>100</c:v>
                </c:pt>
                <c:pt idx="158">
                  <c:v>2400</c:v>
                </c:pt>
                <c:pt idx="159">
                  <c:v>740</c:v>
                </c:pt>
                <c:pt idx="160">
                  <c:v>1550</c:v>
                </c:pt>
                <c:pt idx="161">
                  <c:v>4300</c:v>
                </c:pt>
                <c:pt idx="162">
                  <c:v>90</c:v>
                </c:pt>
                <c:pt idx="163">
                  <c:v>1500</c:v>
                </c:pt>
                <c:pt idx="164">
                  <c:v>380</c:v>
                </c:pt>
                <c:pt idx="165">
                  <c:v>300</c:v>
                </c:pt>
                <c:pt idx="166">
                  <c:v>700</c:v>
                </c:pt>
                <c:pt idx="167">
                  <c:v>540</c:v>
                </c:pt>
                <c:pt idx="168">
                  <c:v>1200</c:v>
                </c:pt>
                <c:pt idx="169">
                  <c:v>1800</c:v>
                </c:pt>
                <c:pt idx="170">
                  <c:v>1600</c:v>
                </c:pt>
                <c:pt idx="171">
                  <c:v>1600</c:v>
                </c:pt>
                <c:pt idx="172">
                  <c:v>500</c:v>
                </c:pt>
                <c:pt idx="173">
                  <c:v>1200</c:v>
                </c:pt>
                <c:pt idx="174">
                  <c:v>420</c:v>
                </c:pt>
                <c:pt idx="175">
                  <c:v>60</c:v>
                </c:pt>
                <c:pt idx="176">
                  <c:v>200</c:v>
                </c:pt>
                <c:pt idx="177">
                  <c:v>750</c:v>
                </c:pt>
                <c:pt idx="178">
                  <c:v>2440</c:v>
                </c:pt>
                <c:pt idx="179">
                  <c:v>30</c:v>
                </c:pt>
                <c:pt idx="180">
                  <c:v>60</c:v>
                </c:pt>
                <c:pt idx="181">
                  <c:v>500</c:v>
                </c:pt>
                <c:pt idx="182">
                  <c:v>2820</c:v>
                </c:pt>
                <c:pt idx="183">
                  <c:v>70</c:v>
                </c:pt>
                <c:pt idx="184">
                  <c:v>1028</c:v>
                </c:pt>
                <c:pt idx="185">
                  <c:v>510</c:v>
                </c:pt>
                <c:pt idx="186">
                  <c:v>600</c:v>
                </c:pt>
                <c:pt idx="187">
                  <c:v>5635</c:v>
                </c:pt>
                <c:pt idx="188">
                  <c:v>910</c:v>
                </c:pt>
                <c:pt idx="189">
                  <c:v>152</c:v>
                </c:pt>
                <c:pt idx="190">
                  <c:v>70</c:v>
                </c:pt>
                <c:pt idx="191">
                  <c:v>1520</c:v>
                </c:pt>
                <c:pt idx="192">
                  <c:v>1050</c:v>
                </c:pt>
                <c:pt idx="193">
                  <c:v>800</c:v>
                </c:pt>
                <c:pt idx="194">
                  <c:v>300</c:v>
                </c:pt>
                <c:pt idx="195">
                  <c:v>180</c:v>
                </c:pt>
                <c:pt idx="196">
                  <c:v>90</c:v>
                </c:pt>
                <c:pt idx="197">
                  <c:v>40</c:v>
                </c:pt>
                <c:pt idx="198">
                  <c:v>2100</c:v>
                </c:pt>
                <c:pt idx="199">
                  <c:v>3310</c:v>
                </c:pt>
                <c:pt idx="200">
                  <c:v>1685</c:v>
                </c:pt>
                <c:pt idx="201">
                  <c:v>3050</c:v>
                </c:pt>
                <c:pt idx="202">
                  <c:v>180</c:v>
                </c:pt>
                <c:pt idx="203">
                  <c:v>1660</c:v>
                </c:pt>
                <c:pt idx="204">
                  <c:v>3000</c:v>
                </c:pt>
                <c:pt idx="205">
                  <c:v>1500</c:v>
                </c:pt>
                <c:pt idx="206">
                  <c:v>400</c:v>
                </c:pt>
                <c:pt idx="207">
                  <c:v>105</c:v>
                </c:pt>
                <c:pt idx="208">
                  <c:v>250</c:v>
                </c:pt>
                <c:pt idx="209">
                  <c:v>1200</c:v>
                </c:pt>
                <c:pt idx="210">
                  <c:v>1600</c:v>
                </c:pt>
                <c:pt idx="211">
                  <c:v>800</c:v>
                </c:pt>
                <c:pt idx="212">
                  <c:v>70</c:v>
                </c:pt>
                <c:pt idx="213">
                  <c:v>630</c:v>
                </c:pt>
                <c:pt idx="214">
                  <c:v>80</c:v>
                </c:pt>
                <c:pt idx="215">
                  <c:v>700</c:v>
                </c:pt>
                <c:pt idx="216">
                  <c:v>76</c:v>
                </c:pt>
                <c:pt idx="217">
                  <c:v>1070</c:v>
                </c:pt>
                <c:pt idx="218">
                  <c:v>200</c:v>
                </c:pt>
                <c:pt idx="219">
                  <c:v>1220</c:v>
                </c:pt>
                <c:pt idx="220">
                  <c:v>152</c:v>
                </c:pt>
                <c:pt idx="221">
                  <c:v>70</c:v>
                </c:pt>
                <c:pt idx="222">
                  <c:v>500</c:v>
                </c:pt>
                <c:pt idx="223">
                  <c:v>1050</c:v>
                </c:pt>
                <c:pt idx="224">
                  <c:v>180</c:v>
                </c:pt>
                <c:pt idx="225">
                  <c:v>300</c:v>
                </c:pt>
                <c:pt idx="226">
                  <c:v>500</c:v>
                </c:pt>
                <c:pt idx="227">
                  <c:v>770</c:v>
                </c:pt>
                <c:pt idx="228">
                  <c:v>1500</c:v>
                </c:pt>
                <c:pt idx="229">
                  <c:v>960</c:v>
                </c:pt>
                <c:pt idx="230">
                  <c:v>500</c:v>
                </c:pt>
                <c:pt idx="231">
                  <c:v>80</c:v>
                </c:pt>
                <c:pt idx="232">
                  <c:v>340</c:v>
                </c:pt>
                <c:pt idx="233">
                  <c:v>900</c:v>
                </c:pt>
                <c:pt idx="234">
                  <c:v>120</c:v>
                </c:pt>
                <c:pt idx="235">
                  <c:v>1010</c:v>
                </c:pt>
                <c:pt idx="236">
                  <c:v>800</c:v>
                </c:pt>
                <c:pt idx="237">
                  <c:v>130</c:v>
                </c:pt>
                <c:pt idx="238">
                  <c:v>1800</c:v>
                </c:pt>
                <c:pt idx="239">
                  <c:v>1800</c:v>
                </c:pt>
                <c:pt idx="240">
                  <c:v>500</c:v>
                </c:pt>
                <c:pt idx="241">
                  <c:v>100</c:v>
                </c:pt>
                <c:pt idx="242">
                  <c:v>1600</c:v>
                </c:pt>
                <c:pt idx="243">
                  <c:v>2900</c:v>
                </c:pt>
                <c:pt idx="244">
                  <c:v>960</c:v>
                </c:pt>
                <c:pt idx="245">
                  <c:v>5600</c:v>
                </c:pt>
                <c:pt idx="246">
                  <c:v>1550</c:v>
                </c:pt>
                <c:pt idx="247">
                  <c:v>80</c:v>
                </c:pt>
                <c:pt idx="248">
                  <c:v>1080</c:v>
                </c:pt>
                <c:pt idx="249">
                  <c:v>800</c:v>
                </c:pt>
                <c:pt idx="250">
                  <c:v>152</c:v>
                </c:pt>
                <c:pt idx="251">
                  <c:v>4876</c:v>
                </c:pt>
                <c:pt idx="252">
                  <c:v>130</c:v>
                </c:pt>
                <c:pt idx="253">
                  <c:v>800</c:v>
                </c:pt>
                <c:pt idx="254">
                  <c:v>60</c:v>
                </c:pt>
                <c:pt idx="255">
                  <c:v>2400</c:v>
                </c:pt>
                <c:pt idx="256">
                  <c:v>2700</c:v>
                </c:pt>
                <c:pt idx="257">
                  <c:v>350</c:v>
                </c:pt>
                <c:pt idx="258">
                  <c:v>818</c:v>
                </c:pt>
                <c:pt idx="259">
                  <c:v>195</c:v>
                </c:pt>
                <c:pt idx="260">
                  <c:v>2970</c:v>
                </c:pt>
                <c:pt idx="261">
                  <c:v>600</c:v>
                </c:pt>
                <c:pt idx="262">
                  <c:v>952</c:v>
                </c:pt>
                <c:pt idx="263">
                  <c:v>120</c:v>
                </c:pt>
                <c:pt idx="264">
                  <c:v>4610</c:v>
                </c:pt>
                <c:pt idx="265">
                  <c:v>1340</c:v>
                </c:pt>
                <c:pt idx="266">
                  <c:v>1000</c:v>
                </c:pt>
                <c:pt idx="267">
                  <c:v>240</c:v>
                </c:pt>
                <c:pt idx="268">
                  <c:v>270</c:v>
                </c:pt>
                <c:pt idx="269">
                  <c:v>105</c:v>
                </c:pt>
                <c:pt idx="270">
                  <c:v>60</c:v>
                </c:pt>
                <c:pt idx="271">
                  <c:v>200</c:v>
                </c:pt>
                <c:pt idx="272">
                  <c:v>80</c:v>
                </c:pt>
                <c:pt idx="273">
                  <c:v>1100</c:v>
                </c:pt>
                <c:pt idx="274">
                  <c:v>1300</c:v>
                </c:pt>
                <c:pt idx="275">
                  <c:v>2700</c:v>
                </c:pt>
                <c:pt idx="276">
                  <c:v>700</c:v>
                </c:pt>
                <c:pt idx="277">
                  <c:v>2100</c:v>
                </c:pt>
                <c:pt idx="278">
                  <c:v>810</c:v>
                </c:pt>
                <c:pt idx="279">
                  <c:v>590</c:v>
                </c:pt>
                <c:pt idx="280">
                  <c:v>800</c:v>
                </c:pt>
                <c:pt idx="281">
                  <c:v>210</c:v>
                </c:pt>
                <c:pt idx="282">
                  <c:v>60</c:v>
                </c:pt>
                <c:pt idx="283">
                  <c:v>3200</c:v>
                </c:pt>
                <c:pt idx="284">
                  <c:v>340</c:v>
                </c:pt>
                <c:pt idx="285">
                  <c:v>360</c:v>
                </c:pt>
                <c:pt idx="286">
                  <c:v>120</c:v>
                </c:pt>
                <c:pt idx="287">
                  <c:v>180</c:v>
                </c:pt>
                <c:pt idx="288">
                  <c:v>900</c:v>
                </c:pt>
                <c:pt idx="289">
                  <c:v>350</c:v>
                </c:pt>
                <c:pt idx="290">
                  <c:v>7500</c:v>
                </c:pt>
                <c:pt idx="291">
                  <c:v>2100</c:v>
                </c:pt>
                <c:pt idx="292">
                  <c:v>600</c:v>
                </c:pt>
                <c:pt idx="293">
                  <c:v>70</c:v>
                </c:pt>
                <c:pt idx="294">
                  <c:v>200</c:v>
                </c:pt>
                <c:pt idx="295">
                  <c:v>105</c:v>
                </c:pt>
                <c:pt idx="296">
                  <c:v>1200</c:v>
                </c:pt>
                <c:pt idx="297">
                  <c:v>1000</c:v>
                </c:pt>
                <c:pt idx="298">
                  <c:v>400</c:v>
                </c:pt>
                <c:pt idx="299">
                  <c:v>250</c:v>
                </c:pt>
                <c:pt idx="300">
                  <c:v>1310</c:v>
                </c:pt>
                <c:pt idx="301">
                  <c:v>1635</c:v>
                </c:pt>
                <c:pt idx="302">
                  <c:v>380</c:v>
                </c:pt>
                <c:pt idx="303">
                  <c:v>300</c:v>
                </c:pt>
                <c:pt idx="304">
                  <c:v>510</c:v>
                </c:pt>
                <c:pt idx="305">
                  <c:v>76</c:v>
                </c:pt>
                <c:pt idx="306">
                  <c:v>140</c:v>
                </c:pt>
                <c:pt idx="307">
                  <c:v>11200</c:v>
                </c:pt>
                <c:pt idx="308">
                  <c:v>1200</c:v>
                </c:pt>
                <c:pt idx="309">
                  <c:v>1320</c:v>
                </c:pt>
                <c:pt idx="310">
                  <c:v>1600</c:v>
                </c:pt>
                <c:pt idx="311">
                  <c:v>1352</c:v>
                </c:pt>
                <c:pt idx="312">
                  <c:v>120</c:v>
                </c:pt>
                <c:pt idx="313">
                  <c:v>1500</c:v>
                </c:pt>
                <c:pt idx="314">
                  <c:v>1540</c:v>
                </c:pt>
                <c:pt idx="315">
                  <c:v>800</c:v>
                </c:pt>
                <c:pt idx="316">
                  <c:v>850</c:v>
                </c:pt>
                <c:pt idx="317">
                  <c:v>270</c:v>
                </c:pt>
                <c:pt idx="318">
                  <c:v>5600</c:v>
                </c:pt>
                <c:pt idx="319">
                  <c:v>70</c:v>
                </c:pt>
                <c:pt idx="320">
                  <c:v>530</c:v>
                </c:pt>
                <c:pt idx="321">
                  <c:v>2400</c:v>
                </c:pt>
                <c:pt idx="322">
                  <c:v>1640</c:v>
                </c:pt>
                <c:pt idx="323">
                  <c:v>2746</c:v>
                </c:pt>
                <c:pt idx="324">
                  <c:v>600</c:v>
                </c:pt>
                <c:pt idx="325">
                  <c:v>240</c:v>
                </c:pt>
                <c:pt idx="326">
                  <c:v>3620</c:v>
                </c:pt>
                <c:pt idx="327">
                  <c:v>1032</c:v>
                </c:pt>
                <c:pt idx="328">
                  <c:v>600</c:v>
                </c:pt>
                <c:pt idx="329">
                  <c:v>430</c:v>
                </c:pt>
                <c:pt idx="330">
                  <c:v>140</c:v>
                </c:pt>
                <c:pt idx="331">
                  <c:v>290</c:v>
                </c:pt>
                <c:pt idx="332">
                  <c:v>2700</c:v>
                </c:pt>
                <c:pt idx="333">
                  <c:v>60</c:v>
                </c:pt>
                <c:pt idx="334">
                  <c:v>1150</c:v>
                </c:pt>
                <c:pt idx="335">
                  <c:v>1135</c:v>
                </c:pt>
                <c:pt idx="336">
                  <c:v>180</c:v>
                </c:pt>
                <c:pt idx="337">
                  <c:v>1700</c:v>
                </c:pt>
                <c:pt idx="338">
                  <c:v>2860</c:v>
                </c:pt>
                <c:pt idx="339">
                  <c:v>1600</c:v>
                </c:pt>
                <c:pt idx="340">
                  <c:v>70</c:v>
                </c:pt>
                <c:pt idx="341">
                  <c:v>680</c:v>
                </c:pt>
                <c:pt idx="34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6-48C1-BD12-7AEF6CFD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77718031"/>
        <c:axId val="677719279"/>
      </c:barChart>
      <c:catAx>
        <c:axId val="677718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719279"/>
        <c:crosses val="autoZero"/>
        <c:auto val="1"/>
        <c:lblAlgn val="ctr"/>
        <c:lblOffset val="100"/>
        <c:noMultiLvlLbl val="0"/>
      </c:catAx>
      <c:valAx>
        <c:axId val="677719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71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- Copia.xlsm]Planilha6!Tabela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do genêro Masculino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Planilha6!$B$6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Planilha6!$A$7:$A$14</c:f>
              <c:multiLvlStrCache>
                <c:ptCount val="6"/>
                <c:lvl>
                  <c:pt idx="0">
                    <c:v>Bermuda Nike Flex Short Woven</c:v>
                  </c:pt>
                  <c:pt idx="1">
                    <c:v>Calçao Nike Dry-fit Academy</c:v>
                  </c:pt>
                  <c:pt idx="2">
                    <c:v>Camiseta Puma Essentials</c:v>
                  </c:pt>
                  <c:pt idx="3">
                    <c:v>Tenis Adidas Ventice</c:v>
                  </c:pt>
                  <c:pt idx="4">
                    <c:v>Tenis New Balance 247</c:v>
                  </c:pt>
                  <c:pt idx="5">
                    <c:v>Tenis Nike Revolution 5</c:v>
                  </c:pt>
                </c:lvl>
                <c:lvl>
                  <c:pt idx="0">
                    <c:v>Masculino</c:v>
                  </c:pt>
                </c:lvl>
              </c:multiLvlStrCache>
            </c:multiLvlStrRef>
          </c:cat>
          <c:val>
            <c:numRef>
              <c:f>Planilha6!$B$7:$B$14</c:f>
              <c:numCache>
                <c:formatCode>General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21</c:v>
                </c:pt>
                <c:pt idx="3">
                  <c:v>25</c:v>
                </c:pt>
                <c:pt idx="4">
                  <c:v>22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0-45B4-8741-83DA55065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45331439"/>
        <c:axId val="945331855"/>
      </c:barChart>
      <c:catAx>
        <c:axId val="94533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331855"/>
        <c:crosses val="autoZero"/>
        <c:auto val="1"/>
        <c:lblAlgn val="ctr"/>
        <c:lblOffset val="100"/>
        <c:noMultiLvlLbl val="0"/>
      </c:catAx>
      <c:valAx>
        <c:axId val="94533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33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dutos!A1"/><Relationship Id="rId13" Type="http://schemas.microsoft.com/office/2007/relationships/hdphoto" Target="../media/hdphoto3.wdp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Vendas!A1"/><Relationship Id="rId2" Type="http://schemas.openxmlformats.org/officeDocument/2006/relationships/image" Target="../media/image2.png"/><Relationship Id="rId16" Type="http://schemas.microsoft.com/office/2007/relationships/hdphoto" Target="../media/hdphoto4.wdp"/><Relationship Id="rId20" Type="http://schemas.openxmlformats.org/officeDocument/2006/relationships/hyperlink" Target="#'Fechamento '!A1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Consultas!A1"/><Relationship Id="rId5" Type="http://schemas.openxmlformats.org/officeDocument/2006/relationships/hyperlink" Target="#Funcion&#225;rios!A1"/><Relationship Id="rId15" Type="http://schemas.openxmlformats.org/officeDocument/2006/relationships/image" Target="../media/image8.png"/><Relationship Id="rId10" Type="http://schemas.microsoft.com/office/2007/relationships/hdphoto" Target="../media/hdphoto2.wdp"/><Relationship Id="rId19" Type="http://schemas.microsoft.com/office/2007/relationships/hdphoto" Target="../media/hdphoto5.wdp"/><Relationship Id="rId4" Type="http://schemas.openxmlformats.org/officeDocument/2006/relationships/image" Target="../media/image4.png"/><Relationship Id="rId9" Type="http://schemas.openxmlformats.org/officeDocument/2006/relationships/image" Target="../media/image6.png"/><Relationship Id="rId14" Type="http://schemas.openxmlformats.org/officeDocument/2006/relationships/hyperlink" Target="#Planilha1!A1"/><Relationship Id="rId22" Type="http://schemas.microsoft.com/office/2007/relationships/hdphoto" Target="../media/hdphoto6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7.png"/><Relationship Id="rId18" Type="http://schemas.openxmlformats.org/officeDocument/2006/relationships/hyperlink" Target="#Vendas!A1"/><Relationship Id="rId3" Type="http://schemas.openxmlformats.org/officeDocument/2006/relationships/hyperlink" Target="#Clientes!A1"/><Relationship Id="rId21" Type="http://schemas.openxmlformats.org/officeDocument/2006/relationships/hyperlink" Target="#'Fechamento '!A1"/><Relationship Id="rId7" Type="http://schemas.openxmlformats.org/officeDocument/2006/relationships/hyperlink" Target="#Funcion&#225;rios!A1"/><Relationship Id="rId12" Type="http://schemas.openxmlformats.org/officeDocument/2006/relationships/hyperlink" Target="#Consultas!A1"/><Relationship Id="rId17" Type="http://schemas.microsoft.com/office/2007/relationships/hdphoto" Target="../media/hdphoto4.wdp"/><Relationship Id="rId2" Type="http://schemas.openxmlformats.org/officeDocument/2006/relationships/image" Target="../media/image2.png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microsoft.com/office/2007/relationships/hdphoto" Target="../media/hdphoto2.wdp"/><Relationship Id="rId5" Type="http://schemas.microsoft.com/office/2007/relationships/hdphoto" Target="../media/hdphoto7.wdp"/><Relationship Id="rId15" Type="http://schemas.openxmlformats.org/officeDocument/2006/relationships/hyperlink" Target="#Planilha1!A1"/><Relationship Id="rId23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openxmlformats.org/officeDocument/2006/relationships/image" Target="../media/image9.png"/><Relationship Id="rId4" Type="http://schemas.openxmlformats.org/officeDocument/2006/relationships/image" Target="../media/image11.png"/><Relationship Id="rId9" Type="http://schemas.openxmlformats.org/officeDocument/2006/relationships/hyperlink" Target="#Produtos!A1"/><Relationship Id="rId14" Type="http://schemas.microsoft.com/office/2007/relationships/hdphoto" Target="../media/hdphoto3.wdp"/><Relationship Id="rId22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hyperlink" Target="#Vendas!A1"/><Relationship Id="rId3" Type="http://schemas.openxmlformats.org/officeDocument/2006/relationships/hyperlink" Target="#Clientes!A1"/><Relationship Id="rId21" Type="http://schemas.openxmlformats.org/officeDocument/2006/relationships/hyperlink" Target="#'Fechamento '!A1"/><Relationship Id="rId7" Type="http://schemas.openxmlformats.org/officeDocument/2006/relationships/hyperlink" Target="#Funcion&#225;rios!A1"/><Relationship Id="rId12" Type="http://schemas.openxmlformats.org/officeDocument/2006/relationships/hyperlink" Target="#Consultas!A1"/><Relationship Id="rId17" Type="http://schemas.microsoft.com/office/2007/relationships/hdphoto" Target="../media/hdphoto4.wdp"/><Relationship Id="rId2" Type="http://schemas.openxmlformats.org/officeDocument/2006/relationships/image" Target="../media/image2.png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13.png"/><Relationship Id="rId5" Type="http://schemas.microsoft.com/office/2007/relationships/hdphoto" Target="../media/hdphoto7.wdp"/><Relationship Id="rId15" Type="http://schemas.openxmlformats.org/officeDocument/2006/relationships/hyperlink" Target="#Planilha1!A1"/><Relationship Id="rId23" Type="http://schemas.microsoft.com/office/2007/relationships/hdphoto" Target="../media/hdphoto6.wdp"/><Relationship Id="rId10" Type="http://schemas.openxmlformats.org/officeDocument/2006/relationships/hyperlink" Target="#Produtos!A1"/><Relationship Id="rId19" Type="http://schemas.openxmlformats.org/officeDocument/2006/relationships/image" Target="../media/image9.png"/><Relationship Id="rId4" Type="http://schemas.openxmlformats.org/officeDocument/2006/relationships/image" Target="../media/image11.png"/><Relationship Id="rId9" Type="http://schemas.microsoft.com/office/2007/relationships/hdphoto" Target="../media/hdphoto1.wdp"/><Relationship Id="rId14" Type="http://schemas.microsoft.com/office/2007/relationships/hdphoto" Target="../media/hdphoto3.wdp"/><Relationship Id="rId22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Consultas!A1"/><Relationship Id="rId18" Type="http://schemas.microsoft.com/office/2007/relationships/hdphoto" Target="../media/hdphoto4.wdp"/><Relationship Id="rId3" Type="http://schemas.openxmlformats.org/officeDocument/2006/relationships/hyperlink" Target="#Clientes!A1"/><Relationship Id="rId21" Type="http://schemas.openxmlformats.org/officeDocument/2006/relationships/hyperlink" Target="#'Fechamento '!A1"/><Relationship Id="rId7" Type="http://schemas.openxmlformats.org/officeDocument/2006/relationships/hyperlink" Target="#Funcion&#225;rios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" Type="http://schemas.openxmlformats.org/officeDocument/2006/relationships/image" Target="../media/image2.png"/><Relationship Id="rId16" Type="http://schemas.openxmlformats.org/officeDocument/2006/relationships/hyperlink" Target="#Planilha1!A1"/><Relationship Id="rId20" Type="http://schemas.openxmlformats.org/officeDocument/2006/relationships/image" Target="../media/image14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6.png"/><Relationship Id="rId5" Type="http://schemas.microsoft.com/office/2007/relationships/hdphoto" Target="../media/hdphoto7.wdp"/><Relationship Id="rId15" Type="http://schemas.microsoft.com/office/2007/relationships/hdphoto" Target="../media/hdphoto3.wdp"/><Relationship Id="rId23" Type="http://schemas.microsoft.com/office/2007/relationships/hdphoto" Target="../media/hdphoto6.wdp"/><Relationship Id="rId10" Type="http://schemas.openxmlformats.org/officeDocument/2006/relationships/hyperlink" Target="#Produtos!A1"/><Relationship Id="rId19" Type="http://schemas.openxmlformats.org/officeDocument/2006/relationships/hyperlink" Target="#Vendas!A1"/><Relationship Id="rId4" Type="http://schemas.openxmlformats.org/officeDocument/2006/relationships/image" Target="../media/image11.png"/><Relationship Id="rId9" Type="http://schemas.microsoft.com/office/2007/relationships/hdphoto" Target="../media/hdphoto1.wdp"/><Relationship Id="rId14" Type="http://schemas.openxmlformats.org/officeDocument/2006/relationships/image" Target="../media/image7.png"/><Relationship Id="rId22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openxmlformats.org/officeDocument/2006/relationships/hyperlink" Target="#Vendas!A1"/><Relationship Id="rId3" Type="http://schemas.openxmlformats.org/officeDocument/2006/relationships/image" Target="../media/image11.png"/><Relationship Id="rId21" Type="http://schemas.openxmlformats.org/officeDocument/2006/relationships/image" Target="../media/image15.png"/><Relationship Id="rId7" Type="http://schemas.openxmlformats.org/officeDocument/2006/relationships/image" Target="../media/image5.png"/><Relationship Id="rId12" Type="http://schemas.openxmlformats.org/officeDocument/2006/relationships/hyperlink" Target="#Consultas!A1"/><Relationship Id="rId17" Type="http://schemas.microsoft.com/office/2007/relationships/hdphoto" Target="../media/hdphoto4.wdp"/><Relationship Id="rId2" Type="http://schemas.openxmlformats.org/officeDocument/2006/relationships/hyperlink" Target="#Clientes!A1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1" Type="http://schemas.openxmlformats.org/officeDocument/2006/relationships/image" Target="../media/image2.png"/><Relationship Id="rId6" Type="http://schemas.openxmlformats.org/officeDocument/2006/relationships/hyperlink" Target="#Funcion&#225;rios!A1"/><Relationship Id="rId11" Type="http://schemas.microsoft.com/office/2007/relationships/hdphoto" Target="../media/hdphoto2.wdp"/><Relationship Id="rId5" Type="http://schemas.openxmlformats.org/officeDocument/2006/relationships/image" Target="../media/image4.png"/><Relationship Id="rId15" Type="http://schemas.openxmlformats.org/officeDocument/2006/relationships/hyperlink" Target="#Planilha1!A1"/><Relationship Id="rId10" Type="http://schemas.openxmlformats.org/officeDocument/2006/relationships/image" Target="../media/image6.png"/><Relationship Id="rId19" Type="http://schemas.openxmlformats.org/officeDocument/2006/relationships/image" Target="../media/image9.png"/><Relationship Id="rId4" Type="http://schemas.microsoft.com/office/2007/relationships/hdphoto" Target="../media/hdphoto7.wdp"/><Relationship Id="rId9" Type="http://schemas.openxmlformats.org/officeDocument/2006/relationships/hyperlink" Target="#Produtos!A1"/><Relationship Id="rId14" Type="http://schemas.microsoft.com/office/2007/relationships/hdphoto" Target="../media/hdphoto3.wdp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Cliente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Clientes!A1"/><Relationship Id="rId1" Type="http://schemas.openxmlformats.org/officeDocument/2006/relationships/chart" Target="../charts/chart1.xml"/><Relationship Id="rId4" Type="http://schemas.openxmlformats.org/officeDocument/2006/relationships/hyperlink" Target="#Planilha2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lanilha1!A1"/><Relationship Id="rId2" Type="http://schemas.openxmlformats.org/officeDocument/2006/relationships/hyperlink" Target="#Planilha3!A1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lanilha2!A1"/><Relationship Id="rId2" Type="http://schemas.openxmlformats.org/officeDocument/2006/relationships/hyperlink" Target="#Planilha4!A1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5!A1"/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lanilha4!A1"/><Relationship Id="rId2" Type="http://schemas.openxmlformats.org/officeDocument/2006/relationships/hyperlink" Target="#Planilha6!A1"/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lanilha5!A1"/><Relationship Id="rId2" Type="http://schemas.openxmlformats.org/officeDocument/2006/relationships/hyperlink" Target="#Clientes!A1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1233770</xdr:colOff>
      <xdr:row>19</xdr:row>
      <xdr:rowOff>94134</xdr:rowOff>
    </xdr:from>
    <xdr:to>
      <xdr:col>5</xdr:col>
      <xdr:colOff>385472</xdr:colOff>
      <xdr:row>22</xdr:row>
      <xdr:rowOff>196095</xdr:rowOff>
    </xdr:to>
    <xdr:pic macro="[0]!ApgCliente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5770" y="5517781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5</xdr:col>
      <xdr:colOff>1109945</xdr:colOff>
      <xdr:row>19</xdr:row>
      <xdr:rowOff>103099</xdr:rowOff>
    </xdr:from>
    <xdr:to>
      <xdr:col>6</xdr:col>
      <xdr:colOff>208126</xdr:colOff>
      <xdr:row>22</xdr:row>
      <xdr:rowOff>163865</xdr:rowOff>
    </xdr:to>
    <xdr:pic macro="[0]!CadCliente"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4886" y="5526746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1329019</xdr:colOff>
      <xdr:row>21</xdr:row>
      <xdr:rowOff>276230</xdr:rowOff>
    </xdr:from>
    <xdr:ext cx="790576" cy="309315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711019" y="6260171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1081369</xdr:colOff>
      <xdr:row>21</xdr:row>
      <xdr:rowOff>276230</xdr:rowOff>
    </xdr:from>
    <xdr:ext cx="1066801" cy="30931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256310" y="6260171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706455"/>
          <a:ext cx="2286000" cy="799207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521325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" name="Imagem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641911"/>
          <a:ext cx="2263588" cy="793837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3" name="Imagem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92108"/>
          <a:ext cx="2263587" cy="791371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602440" y="2924735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15" name="CaixaDeText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389529" y="3843618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19" name="CaixaDeText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46411" y="4706471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56667" y="6253400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12" name="Imagem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2677"/>
          <a:ext cx="1033312" cy="1033312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13" name="Imagem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5823"/>
          <a:ext cx="829235" cy="829235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4605" y="7586901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342029" y="7597588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oneCellAnchor>
    <xdr:from>
      <xdr:col>2</xdr:col>
      <xdr:colOff>0</xdr:colOff>
      <xdr:row>26</xdr:row>
      <xdr:rowOff>11207</xdr:rowOff>
    </xdr:from>
    <xdr:ext cx="1581459" cy="505267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796118" y="7395883"/>
          <a:ext cx="1581459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 u="sng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356411"/>
          <a:ext cx="1247241" cy="783593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5" name="Imagem 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334001"/>
          <a:ext cx="918882" cy="918882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218765" y="6248919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1064559</xdr:colOff>
      <xdr:row>19</xdr:row>
      <xdr:rowOff>89646</xdr:rowOff>
    </xdr:from>
    <xdr:to>
      <xdr:col>5</xdr:col>
      <xdr:colOff>216261</xdr:colOff>
      <xdr:row>22</xdr:row>
      <xdr:rowOff>191607</xdr:rowOff>
    </xdr:to>
    <xdr:pic macro="[0]!ApgFuncionarios"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4647" y="5513293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5</xdr:col>
      <xdr:colOff>940734</xdr:colOff>
      <xdr:row>19</xdr:row>
      <xdr:rowOff>109817</xdr:rowOff>
    </xdr:from>
    <xdr:to>
      <xdr:col>6</xdr:col>
      <xdr:colOff>50120</xdr:colOff>
      <xdr:row>22</xdr:row>
      <xdr:rowOff>170583</xdr:rowOff>
    </xdr:to>
    <xdr:pic macro="[0]!CadFunc"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3763" y="5533464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1159808</xdr:colOff>
      <xdr:row>22</xdr:row>
      <xdr:rowOff>2801</xdr:rowOff>
    </xdr:from>
    <xdr:ext cx="790576" cy="309315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9709896" y="6266889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912158</xdr:colOff>
      <xdr:row>22</xdr:row>
      <xdr:rowOff>2801</xdr:rowOff>
    </xdr:from>
    <xdr:ext cx="1066801" cy="309315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1255187" y="6266889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oneCellAnchor>
    <xdr:from>
      <xdr:col>2</xdr:col>
      <xdr:colOff>0</xdr:colOff>
      <xdr:row>27</xdr:row>
      <xdr:rowOff>67235</xdr:rowOff>
    </xdr:from>
    <xdr:ext cx="2439066" cy="505267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4818529" y="7732059"/>
          <a:ext cx="243906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 u="sng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20" name="Imagem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180526</xdr:rowOff>
    </xdr:from>
    <xdr:to>
      <xdr:col>0</xdr:col>
      <xdr:colOff>3014381</xdr:colOff>
      <xdr:row>15</xdr:row>
      <xdr:rowOff>131456</xdr:rowOff>
    </xdr:to>
    <xdr:pic>
      <xdr:nvPicPr>
        <xdr:cNvPr id="31" name="Imagem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643144"/>
          <a:ext cx="2263588" cy="7913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32" name="Imagem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03582"/>
          <a:ext cx="2263587" cy="779605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43" name="CaixaDeText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44" name="CaixaDeText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46" name="Imagem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47" name="Imagem 4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50" name="Imagem 4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289736"/>
          <a:ext cx="1247241" cy="771827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51" name="Imagem 5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267326"/>
          <a:ext cx="918882" cy="907116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986116</xdr:colOff>
      <xdr:row>21</xdr:row>
      <xdr:rowOff>11207</xdr:rowOff>
    </xdr:from>
    <xdr:to>
      <xdr:col>5</xdr:col>
      <xdr:colOff>451583</xdr:colOff>
      <xdr:row>24</xdr:row>
      <xdr:rowOff>113168</xdr:rowOff>
    </xdr:to>
    <xdr:pic macro="[0]!apgprod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4734" y="5995148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5</xdr:col>
      <xdr:colOff>1176056</xdr:colOff>
      <xdr:row>21</xdr:row>
      <xdr:rowOff>31378</xdr:rowOff>
    </xdr:from>
    <xdr:to>
      <xdr:col>5</xdr:col>
      <xdr:colOff>2078384</xdr:colOff>
      <xdr:row>24</xdr:row>
      <xdr:rowOff>92144</xdr:rowOff>
    </xdr:to>
    <xdr:pic macro="[0]!CadProd"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3850" y="6015319"/>
          <a:ext cx="902328" cy="901207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27</xdr:row>
      <xdr:rowOff>0</xdr:rowOff>
    </xdr:from>
    <xdr:ext cx="1760547" cy="505267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4762500" y="7664824"/>
          <a:ext cx="1760547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 u="sng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4</xdr:col>
      <xdr:colOff>1081365</xdr:colOff>
      <xdr:row>23</xdr:row>
      <xdr:rowOff>204509</xdr:rowOff>
    </xdr:from>
    <xdr:ext cx="790576" cy="309315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10639983" y="7028891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1147480</xdr:colOff>
      <xdr:row>23</xdr:row>
      <xdr:rowOff>204509</xdr:rowOff>
    </xdr:from>
    <xdr:ext cx="1066801" cy="309315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2185274" y="7028891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20" name="Imagem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598768"/>
          <a:ext cx="2263588" cy="7820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3003175</xdr:colOff>
      <xdr:row>18</xdr:row>
      <xdr:rowOff>106362</xdr:rowOff>
    </xdr:to>
    <xdr:pic>
      <xdr:nvPicPr>
        <xdr:cNvPr id="23" name="Imagem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58491"/>
          <a:ext cx="2263586" cy="791371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43" name="CaixaDeText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44" name="CaixaDeText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46" name="Imagem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47" name="Imagem 4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50" name="Imagem 4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289736"/>
          <a:ext cx="1247241" cy="771827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51" name="Imagem 5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267326"/>
          <a:ext cx="918882" cy="907116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336176</xdr:colOff>
      <xdr:row>16</xdr:row>
      <xdr:rowOff>280141</xdr:rowOff>
    </xdr:from>
    <xdr:to>
      <xdr:col>4</xdr:col>
      <xdr:colOff>1280819</xdr:colOff>
      <xdr:row>20</xdr:row>
      <xdr:rowOff>101955</xdr:rowOff>
    </xdr:to>
    <xdr:pic macro="[0]!ApgEntrada"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4863347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4</xdr:col>
      <xdr:colOff>2005293</xdr:colOff>
      <xdr:row>17</xdr:row>
      <xdr:rowOff>20165</xdr:rowOff>
    </xdr:from>
    <xdr:to>
      <xdr:col>4</xdr:col>
      <xdr:colOff>2907621</xdr:colOff>
      <xdr:row>20</xdr:row>
      <xdr:rowOff>80931</xdr:rowOff>
    </xdr:to>
    <xdr:pic macro="[0]!CadVendas"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1293" y="4883518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431425</xdr:colOff>
      <xdr:row>19</xdr:row>
      <xdr:rowOff>193297</xdr:rowOff>
    </xdr:from>
    <xdr:ext cx="790576" cy="309315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10337425" y="5616944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4</xdr:col>
      <xdr:colOff>1976717</xdr:colOff>
      <xdr:row>19</xdr:row>
      <xdr:rowOff>193297</xdr:rowOff>
    </xdr:from>
    <xdr:ext cx="1066801" cy="309315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11882717" y="5616944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19" name="Imagem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598768"/>
          <a:ext cx="2263588" cy="7820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26" name="Imagem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03582"/>
          <a:ext cx="2263587" cy="779605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31" name="Imagem 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32" name="Imagem 3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156062</xdr:rowOff>
    </xdr:to>
    <xdr:pic>
      <xdr:nvPicPr>
        <xdr:cNvPr id="35" name="Imagem 3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356411"/>
          <a:ext cx="1247241" cy="783592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36" name="Imagem 3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267326"/>
          <a:ext cx="918882" cy="907116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835399</xdr:colOff>
      <xdr:row>4</xdr:row>
      <xdr:rowOff>235323</xdr:rowOff>
    </xdr:from>
    <xdr:to>
      <xdr:col>4</xdr:col>
      <xdr:colOff>1737727</xdr:colOff>
      <xdr:row>8</xdr:row>
      <xdr:rowOff>15942</xdr:rowOff>
    </xdr:to>
    <xdr:pic macro="[0]!CadFunGat"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2546" y="1456764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414617</xdr:colOff>
      <xdr:row>7</xdr:row>
      <xdr:rowOff>195543</xdr:rowOff>
    </xdr:from>
    <xdr:ext cx="2297207" cy="309315"/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6857999" y="2257425"/>
          <a:ext cx="229720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Inserir Novo Funcionário</a:t>
          </a:r>
        </a:p>
      </xdr:txBody>
    </xdr:sp>
    <xdr:clientData/>
  </xdr:oneCellAnchor>
  <xdr:twoCellAnchor editAs="oneCell">
    <xdr:from>
      <xdr:col>6</xdr:col>
      <xdr:colOff>521636</xdr:colOff>
      <xdr:row>5</xdr:row>
      <xdr:rowOff>168088</xdr:rowOff>
    </xdr:from>
    <xdr:to>
      <xdr:col>6</xdr:col>
      <xdr:colOff>1423964</xdr:colOff>
      <xdr:row>8</xdr:row>
      <xdr:rowOff>228854</xdr:rowOff>
    </xdr:to>
    <xdr:pic macro="[0]!CadMes">
      <xdr:nvPicPr>
        <xdr:cNvPr id="17" name="Imagem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8930" y="1669676"/>
          <a:ext cx="902328" cy="901207"/>
        </a:xfrm>
        <a:prstGeom prst="rect">
          <a:avLst/>
        </a:prstGeom>
      </xdr:spPr>
    </xdr:pic>
    <xdr:clientData/>
  </xdr:twoCellAnchor>
  <xdr:oneCellAnchor>
    <xdr:from>
      <xdr:col>5</xdr:col>
      <xdr:colOff>2073087</xdr:colOff>
      <xdr:row>8</xdr:row>
      <xdr:rowOff>72278</xdr:rowOff>
    </xdr:from>
    <xdr:ext cx="3036795" cy="30931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0578352" y="2414307"/>
          <a:ext cx="3036795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 u="sng">
              <a:solidFill>
                <a:schemeClr val="tx1"/>
              </a:solidFill>
              <a:latin typeface="Arial Black" panose="020B0A04020102020204" pitchFamily="34" charset="0"/>
            </a:rPr>
            <a:t>Inserir/Alterar Mês de Trabalho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19" name="Imagem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1" name="Imagem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598768"/>
          <a:ext cx="2263588" cy="7820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22" name="Imagem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03582"/>
          <a:ext cx="2263587" cy="779605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24" name="CaixaDeText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25" name="CaixaDeText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27" name="Imagem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28" name="Imagem 2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31" name="Imagem 3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289736"/>
          <a:ext cx="1247241" cy="771827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334001"/>
          <a:ext cx="918882" cy="918882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647701</xdr:colOff>
      <xdr:row>0</xdr:row>
      <xdr:rowOff>152367</xdr:rowOff>
    </xdr:from>
    <xdr:to>
      <xdr:col>5</xdr:col>
      <xdr:colOff>1419259</xdr:colOff>
      <xdr:row>4</xdr:row>
      <xdr:rowOff>19050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0226" y="152367"/>
          <a:ext cx="771558" cy="771558"/>
        </a:xfrm>
        <a:prstGeom prst="rect">
          <a:avLst/>
        </a:prstGeom>
      </xdr:spPr>
    </xdr:pic>
    <xdr:clientData/>
  </xdr:twoCellAnchor>
  <xdr:twoCellAnchor>
    <xdr:from>
      <xdr:col>4</xdr:col>
      <xdr:colOff>1764031</xdr:colOff>
      <xdr:row>2</xdr:row>
      <xdr:rowOff>144780</xdr:rowOff>
    </xdr:from>
    <xdr:to>
      <xdr:col>5</xdr:col>
      <xdr:colOff>990600</xdr:colOff>
      <xdr:row>4</xdr:row>
      <xdr:rowOff>28574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2279631" y="525780"/>
          <a:ext cx="1293494" cy="407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 i="0"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185736</xdr:colOff>
      <xdr:row>5</xdr:row>
      <xdr:rowOff>132397</xdr:rowOff>
    </xdr:from>
    <xdr:to>
      <xdr:col>17</xdr:col>
      <xdr:colOff>247649</xdr:colOff>
      <xdr:row>33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502920</xdr:colOff>
      <xdr:row>0</xdr:row>
      <xdr:rowOff>171450</xdr:rowOff>
    </xdr:from>
    <xdr:to>
      <xdr:col>16</xdr:col>
      <xdr:colOff>55278</xdr:colOff>
      <xdr:row>4</xdr:row>
      <xdr:rowOff>38133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3395" y="171450"/>
          <a:ext cx="771558" cy="771558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2</xdr:row>
      <xdr:rowOff>20988</xdr:rowOff>
    </xdr:from>
    <xdr:to>
      <xdr:col>15</xdr:col>
      <xdr:colOff>236219</xdr:colOff>
      <xdr:row>4</xdr:row>
      <xdr:rowOff>47657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972800" y="544863"/>
          <a:ext cx="1293494" cy="407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 i="0"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  <xdr:twoCellAnchor>
    <xdr:from>
      <xdr:col>18</xdr:col>
      <xdr:colOff>85725</xdr:colOff>
      <xdr:row>1</xdr:row>
      <xdr:rowOff>161925</xdr:rowOff>
    </xdr:from>
    <xdr:to>
      <xdr:col>19</xdr:col>
      <xdr:colOff>314325</xdr:colOff>
      <xdr:row>3</xdr:row>
      <xdr:rowOff>180975</xdr:rowOff>
    </xdr:to>
    <xdr:sp macro="" textlink="">
      <xdr:nvSpPr>
        <xdr:cNvPr id="5" name="Seta para a Direita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944600" y="352425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223836</xdr:colOff>
      <xdr:row>3</xdr:row>
      <xdr:rowOff>171449</xdr:rowOff>
    </xdr:from>
    <xdr:to>
      <xdr:col>24</xdr:col>
      <xdr:colOff>306388</xdr:colOff>
      <xdr:row>61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352425</xdr:colOff>
      <xdr:row>1</xdr:row>
      <xdr:rowOff>0</xdr:rowOff>
    </xdr:from>
    <xdr:to>
      <xdr:col>20</xdr:col>
      <xdr:colOff>581025</xdr:colOff>
      <xdr:row>3</xdr:row>
      <xdr:rowOff>19050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3287375" y="1905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17</xdr:col>
      <xdr:colOff>364514</xdr:colOff>
      <xdr:row>0</xdr:row>
      <xdr:rowOff>190499</xdr:rowOff>
    </xdr:from>
    <xdr:to>
      <xdr:col>18</xdr:col>
      <xdr:colOff>581025</xdr:colOff>
      <xdr:row>2</xdr:row>
      <xdr:rowOff>190499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2080264" y="190499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357186</xdr:colOff>
      <xdr:row>4</xdr:row>
      <xdr:rowOff>142874</xdr:rowOff>
    </xdr:from>
    <xdr:to>
      <xdr:col>22</xdr:col>
      <xdr:colOff>180975</xdr:colOff>
      <xdr:row>136</xdr:row>
      <xdr:rowOff>76199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495300</xdr:colOff>
      <xdr:row>1</xdr:row>
      <xdr:rowOff>114300</xdr:rowOff>
    </xdr:from>
    <xdr:to>
      <xdr:col>19</xdr:col>
      <xdr:colOff>114300</xdr:colOff>
      <xdr:row>3</xdr:row>
      <xdr:rowOff>133350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3401675" y="3048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16</xdr:col>
      <xdr:colOff>0</xdr:colOff>
      <xdr:row>1</xdr:row>
      <xdr:rowOff>104775</xdr:rowOff>
    </xdr:from>
    <xdr:to>
      <xdr:col>17</xdr:col>
      <xdr:colOff>216511</xdr:colOff>
      <xdr:row>3</xdr:row>
      <xdr:rowOff>104775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2296775" y="295275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452437</xdr:colOff>
      <xdr:row>4</xdr:row>
      <xdr:rowOff>161923</xdr:rowOff>
    </xdr:from>
    <xdr:to>
      <xdr:col>23</xdr:col>
      <xdr:colOff>122237</xdr:colOff>
      <xdr:row>132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361950</xdr:colOff>
      <xdr:row>1</xdr:row>
      <xdr:rowOff>152400</xdr:rowOff>
    </xdr:from>
    <xdr:to>
      <xdr:col>17</xdr:col>
      <xdr:colOff>590550</xdr:colOff>
      <xdr:row>3</xdr:row>
      <xdr:rowOff>171450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3687425" y="3429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14</xdr:col>
      <xdr:colOff>600075</xdr:colOff>
      <xdr:row>1</xdr:row>
      <xdr:rowOff>152400</xdr:rowOff>
    </xdr:from>
    <xdr:to>
      <xdr:col>16</xdr:col>
      <xdr:colOff>206986</xdr:colOff>
      <xdr:row>3</xdr:row>
      <xdr:rowOff>152400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2706350" y="342900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1023936</xdr:colOff>
      <xdr:row>4</xdr:row>
      <xdr:rowOff>180971</xdr:rowOff>
    </xdr:from>
    <xdr:to>
      <xdr:col>25</xdr:col>
      <xdr:colOff>14285</xdr:colOff>
      <xdr:row>248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285750</xdr:colOff>
      <xdr:row>1</xdr:row>
      <xdr:rowOff>114300</xdr:rowOff>
    </xdr:from>
    <xdr:to>
      <xdr:col>19</xdr:col>
      <xdr:colOff>514350</xdr:colOff>
      <xdr:row>3</xdr:row>
      <xdr:rowOff>133350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3600" y="3048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16</xdr:col>
      <xdr:colOff>485775</xdr:colOff>
      <xdr:row>1</xdr:row>
      <xdr:rowOff>104775</xdr:rowOff>
    </xdr:from>
    <xdr:to>
      <xdr:col>18</xdr:col>
      <xdr:colOff>92686</xdr:colOff>
      <xdr:row>3</xdr:row>
      <xdr:rowOff>104775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544425" y="295275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385761</xdr:colOff>
      <xdr:row>4</xdr:row>
      <xdr:rowOff>171450</xdr:rowOff>
    </xdr:from>
    <xdr:to>
      <xdr:col>16</xdr:col>
      <xdr:colOff>428624</xdr:colOff>
      <xdr:row>31</xdr:row>
      <xdr:rowOff>174308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66675</xdr:colOff>
      <xdr:row>1</xdr:row>
      <xdr:rowOff>76200</xdr:rowOff>
    </xdr:from>
    <xdr:to>
      <xdr:col>19</xdr:col>
      <xdr:colOff>295275</xdr:colOff>
      <xdr:row>3</xdr:row>
      <xdr:rowOff>95250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3430250" y="2667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Inicio</a:t>
          </a:r>
        </a:p>
      </xdr:txBody>
    </xdr:sp>
    <xdr:clientData/>
  </xdr:twoCellAnchor>
  <xdr:twoCellAnchor>
    <xdr:from>
      <xdr:col>16</xdr:col>
      <xdr:colOff>257175</xdr:colOff>
      <xdr:row>1</xdr:row>
      <xdr:rowOff>57150</xdr:rowOff>
    </xdr:from>
    <xdr:to>
      <xdr:col>17</xdr:col>
      <xdr:colOff>473686</xdr:colOff>
      <xdr:row>3</xdr:row>
      <xdr:rowOff>57150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2401550" y="247650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ragne" refreshedDate="44140.832575925924" createdVersion="6" refreshedVersion="6" minRefreshableVersion="3" recordCount="22" xr:uid="{00000000-000A-0000-FFFF-FFFF00000000}">
  <cacheSource type="worksheet">
    <worksheetSource ref="C31:X53" sheet="Produtos"/>
  </cacheSource>
  <cacheFields count="22">
    <cacheField name="Cod. Produto" numFmtId="0">
      <sharedItems/>
    </cacheField>
    <cacheField name="Produto" numFmtId="0">
      <sharedItems count="22">
        <s v="Mountain Bike Caloi Vulcan - Aro 29"/>
        <s v="Mountain Bike Caloi 29 - Aro 29"/>
        <s v="Bermuda Puma Essentials Sweet"/>
        <s v="Camiseta Puma Essentials"/>
        <s v="Bola Jabulani Copa Fifa 2010"/>
        <s v="Tenis New Balace 27"/>
        <s v="Tenis New Balance 247"/>
        <s v="Tenis Nike RENEW In-Season TR-9"/>
        <s v="Tenis New Balance 500"/>
        <s v="Tênis New Balance Fresh Foam 1080v10"/>
        <s v="Bermuda Nike Dry Trophy"/>
        <s v="Calçao Nike Dry-fit Academy"/>
        <s v="Bermuda Nike Flex Short Woven"/>
        <s v="Tenis Adidas NMD_R1"/>
        <s v="Tenis Adidas Falcon "/>
        <s v="Tenis Adidas Ventice"/>
        <s v="Tenis Nike Revolution 5"/>
        <s v="Tenis Nike SB Check"/>
        <s v="Tenis Nike Air"/>
        <s v="Anilha 25 kg"/>
        <s v="Anilha 15 kg"/>
        <s v="Anilha 5 kg"/>
      </sharedItems>
    </cacheField>
    <cacheField name="Gênero" numFmtId="0">
      <sharedItems count="3">
        <s v="Ambos"/>
        <s v="Masculino"/>
        <s v="Feminino"/>
      </sharedItems>
    </cacheField>
    <cacheField name="Categoria" numFmtId="164">
      <sharedItems/>
    </cacheField>
    <cacheField name="Marca" numFmtId="164">
      <sharedItems/>
    </cacheField>
    <cacheField name="Esporte" numFmtId="2">
      <sharedItems count="7">
        <s v="Geral"/>
        <s v="-"/>
        <s v="Corrida e Lazer"/>
        <s v="Futebol"/>
        <s v="Academia"/>
        <s v="Corrida"/>
        <s v="Musculaçao"/>
      </sharedItems>
    </cacheField>
    <cacheField name="Valor Custo" numFmtId="44">
      <sharedItems containsSemiMixedTypes="0" containsString="0" containsNumber="1" containsInteger="1" minValue="10" maxValue="1500"/>
    </cacheField>
    <cacheField name="Valor Vendas" numFmtId="44">
      <sharedItems containsSemiMixedTypes="0" containsString="0" containsNumber="1" containsInteger="1" minValue="30" maxValue="2800"/>
    </cacheField>
    <cacheField name="Qtd. Vendas" numFmtId="2">
      <sharedItems containsSemiMixedTypes="0" containsString="0" containsNumber="1" containsInteger="1" minValue="16" maxValue="27"/>
    </cacheField>
    <cacheField name="Valor Total" numFmtId="164">
      <sharedItems containsSemiMixedTypes="0" containsString="0" containsNumber="1" containsInteger="1" minValue="1710" maxValue="81200"/>
    </cacheField>
    <cacheField name="Janeiro " numFmtId="164">
      <sharedItems containsSemiMixedTypes="0" containsString="0" containsNumber="1" containsInteger="1" minValue="70" maxValue="5600"/>
    </cacheField>
    <cacheField name="Fevereiro" numFmtId="164">
      <sharedItems containsSemiMixedTypes="0" containsString="0" containsNumber="1" containsInteger="1" minValue="120" maxValue="11200"/>
    </cacheField>
    <cacheField name="Março" numFmtId="164">
      <sharedItems containsSemiMixedTypes="0" containsString="0" containsNumber="1" containsInteger="1" minValue="120" maxValue="3600"/>
    </cacheField>
    <cacheField name="Abril" numFmtId="164">
      <sharedItems containsSemiMixedTypes="0" containsString="0" containsNumber="1" containsInteger="1" minValue="200" maxValue="16800"/>
    </cacheField>
    <cacheField name="Maio" numFmtId="164">
      <sharedItems containsSemiMixedTypes="0" containsString="0" containsNumber="1" containsInteger="1" minValue="120" maxValue="3200"/>
    </cacheField>
    <cacheField name="Junho" numFmtId="164">
      <sharedItems containsSemiMixedTypes="0" containsString="0" containsNumber="1" containsInteger="1" minValue="80" maxValue="5600"/>
    </cacheField>
    <cacheField name="Julho" numFmtId="164">
      <sharedItems containsSemiMixedTypes="0" containsString="0" containsNumber="1" containsInteger="1" minValue="80" maxValue="5600"/>
    </cacheField>
    <cacheField name="Agosto" numFmtId="164">
      <sharedItems containsSemiMixedTypes="0" containsString="0" containsNumber="1" containsInteger="1" minValue="140" maxValue="5400"/>
    </cacheField>
    <cacheField name="Setembro" numFmtId="164">
      <sharedItems containsSemiMixedTypes="0" containsString="0" containsNumber="1" containsInteger="1" minValue="90" maxValue="5600"/>
    </cacheField>
    <cacheField name="Outubro" numFmtId="164">
      <sharedItems containsSemiMixedTypes="0" containsString="0" containsNumber="1" containsInteger="1" minValue="60" maxValue="4500"/>
    </cacheField>
    <cacheField name="Novembro" numFmtId="164">
      <sharedItems containsSemiMixedTypes="0" containsString="0" containsNumber="1" containsInteger="1" minValue="120" maxValue="11200"/>
    </cacheField>
    <cacheField name="Dezembro" numFmtId="164">
      <sharedItems containsSemiMixedTypes="0" containsString="0" containsNumber="1" containsInteger="1" minValue="175" maxValue="8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40.862359259256" createdVersion="6" refreshedVersion="6" minRefreshableVersion="3" recordCount="50" xr:uid="{00000000-000A-0000-FFFF-FFFF01000000}">
  <cacheSource type="worksheet">
    <worksheetSource ref="C31:X81" sheet="Clientes"/>
  </cacheSource>
  <cacheFields count="22">
    <cacheField name="Cod. Cliente" numFmtId="0">
      <sharedItems/>
    </cacheField>
    <cacheField name="Cliente" numFmtId="0">
      <sharedItems count="50">
        <s v="Pedro Henrique"/>
        <s v="Rodrigo Souza"/>
        <s v="Pedro Silva"/>
        <s v="Gabriel Lanza"/>
        <s v="Samira Sanches"/>
        <s v="Bruna Oliveira"/>
        <s v="Felipe Moraes"/>
        <s v="João Pedro"/>
        <s v="Luiz Carlos"/>
        <s v="Ryan Soares"/>
        <s v="João Vitor"/>
        <s v="Leonardo Freire"/>
        <s v="Luciana Silva"/>
        <s v="Amanda Flores"/>
        <s v="Hellen Maia"/>
        <s v="Larissa Souza"/>
        <s v="Sara Neves"/>
        <s v="Ana Carla"/>
        <s v="Junior Azevedo"/>
        <s v="Roberto Mendes"/>
        <s v="Gilberto Oliveira"/>
        <s v="João Lucas"/>
        <s v="Mateus Yan"/>
        <s v="Igor Pedro"/>
        <s v="Amanda Peres"/>
        <s v="Maria Maia"/>
        <s v="Leticia Manu"/>
        <s v="Lourdes Souza"/>
        <s v="Ana Maria"/>
        <s v="Teles Mendes"/>
        <s v="Roberto Oliveira"/>
        <s v="Luana Pereira"/>
        <s v="Alice Pontes"/>
        <s v="Miguel Salmão"/>
        <s v="Isabela Pereira"/>
        <s v="Júlia Matias"/>
        <s v="Lucca Luiz"/>
        <s v="Lívia Carol"/>
        <s v="Pedro Roberto"/>
        <s v="Manuela Rita"/>
        <s v="Sofia Pinto"/>
        <s v="Matheus Enbu"/>
        <s v="Arthur Urtigo"/>
        <s v="Bernardo Santo"/>
        <s v="Davi Teres"/>
        <s v="Gabriel Caval"/>
        <s v="Heitor Kuller"/>
        <s v="Anderson Silva"/>
        <s v="Junior Leite"/>
        <s v="Mateus Ragne"/>
      </sharedItems>
    </cacheField>
    <cacheField name="CPF" numFmtId="0">
      <sharedItems/>
    </cacheField>
    <cacheField name="Endereço" numFmtId="0">
      <sharedItems/>
    </cacheField>
    <cacheField name="Bairro" numFmtId="0">
      <sharedItems/>
    </cacheField>
    <cacheField name="Cidade" numFmtId="0">
      <sharedItems count="4">
        <s v="Alv.Machado"/>
        <s v="P. Prudente"/>
        <s v="P. Bernardes "/>
        <s v="Martinopolis"/>
      </sharedItems>
    </cacheField>
    <cacheField name="Fone" numFmtId="2">
      <sharedItems/>
    </cacheField>
    <cacheField name="E-mail" numFmtId="0">
      <sharedItems/>
    </cacheField>
    <cacheField name="Qtd. Compras" numFmtId="0">
      <sharedItems containsSemiMixedTypes="0" containsString="0" containsNumber="1" containsInteger="1" minValue="6" maxValue="20"/>
    </cacheField>
    <cacheField name="Valor Total" numFmtId="44">
      <sharedItems containsSemiMixedTypes="0" containsString="0" containsNumber="1" containsInteger="1" minValue="1702" maxValue="25118"/>
    </cacheField>
    <cacheField name="Janeiro " numFmtId="44">
      <sharedItems containsSemiMixedTypes="0" containsString="0" containsNumber="1" containsInteger="1" minValue="0" maxValue="5600"/>
    </cacheField>
    <cacheField name="Fevereiro" numFmtId="44">
      <sharedItems containsSemiMixedTypes="0" containsString="0" containsNumber="1" containsInteger="1" minValue="0" maxValue="5760"/>
    </cacheField>
    <cacheField name="Março" numFmtId="44">
      <sharedItems containsSemiMixedTypes="0" containsString="0" containsNumber="1" containsInteger="1" minValue="0" maxValue="3310"/>
    </cacheField>
    <cacheField name="Abril" numFmtId="44">
      <sharedItems containsSemiMixedTypes="0" containsString="0" containsNumber="1" containsInteger="1" minValue="0" maxValue="9300"/>
    </cacheField>
    <cacheField name="Maio" numFmtId="44">
      <sharedItems containsSemiMixedTypes="0" containsString="0" containsNumber="1" containsInteger="1" minValue="0" maxValue="3200"/>
    </cacheField>
    <cacheField name="Junho" numFmtId="44">
      <sharedItems containsSemiMixedTypes="0" containsString="0" containsNumber="1" containsInteger="1" minValue="0" maxValue="5600"/>
    </cacheField>
    <cacheField name="Julho" numFmtId="44">
      <sharedItems containsSemiMixedTypes="0" containsString="0" containsNumber="1" containsInteger="1" minValue="0" maxValue="5635"/>
    </cacheField>
    <cacheField name="Agosto" numFmtId="44">
      <sharedItems containsSemiMixedTypes="0" containsString="0" containsNumber="1" containsInteger="1" minValue="0" maxValue="3310"/>
    </cacheField>
    <cacheField name="Setembro" numFmtId="44">
      <sharedItems containsSemiMixedTypes="0" containsString="0" containsNumber="1" containsInteger="1" minValue="0" maxValue="5600"/>
    </cacheField>
    <cacheField name="Outubro" numFmtId="44">
      <sharedItems containsSemiMixedTypes="0" containsString="0" containsNumber="1" containsInteger="1" minValue="0" maxValue="4610"/>
    </cacheField>
    <cacheField name="Novembro" numFmtId="44">
      <sharedItems containsSemiMixedTypes="0" containsString="0" containsNumber="1" containsInteger="1" minValue="0" maxValue="11200"/>
    </cacheField>
    <cacheField name="Dezembro" numFmtId="44">
      <sharedItems containsSemiMixedTypes="0" containsString="0" containsNumber="1" containsInteger="1" minValue="0" maxValue="5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45.801120601849" createdVersion="6" refreshedVersion="6" minRefreshableVersion="3" recordCount="507" xr:uid="{00000000-000A-0000-FFFF-FFFF02000000}">
  <cacheSource type="worksheet">
    <worksheetSource ref="C36:U543" sheet="Vendas"/>
  </cacheSource>
  <cacheFields count="20">
    <cacheField name="NFE" numFmtId="0">
      <sharedItems containsSemiMixedTypes="0" containsString="0" containsNumber="1" containsInteger="1" minValue="1" maxValue="507"/>
    </cacheField>
    <cacheField name="Data" numFmtId="14">
      <sharedItems containsSemiMixedTypes="0" containsNonDate="0" containsDate="1" containsString="0" minDate="2020-01-01T00:00:00" maxDate="2020-12-31T00:00:00" count="331">
        <d v="2020-12-17T00:00:00"/>
        <d v="2020-12-16T00:00:00"/>
        <d v="2020-12-15T00:00:00"/>
        <d v="2020-12-30T00:00:00"/>
        <d v="2020-12-29T00:00:00"/>
        <d v="2020-12-28T00:00:00"/>
        <d v="2020-12-27T00:00:00"/>
        <d v="2020-12-26T00:00:00"/>
        <d v="2020-12-25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1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05T00:00:00"/>
        <d v="2020-08-04T00:00:00"/>
        <d v="2020-08-03T00:00:00"/>
        <d v="2020-08-02T00:00:00"/>
        <d v="2020-08-08T00:00:00"/>
        <d v="2020-08-07T00:00:00"/>
        <d v="2020-08-06T00:00:00"/>
        <d v="2020-08-01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2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04T00:00:00"/>
        <d v="2020-06-03T00:00:00"/>
        <d v="2020-06-02T00:00:00"/>
        <d v="2020-06-01T00:00:00"/>
        <d v="2020-06-08T00:00:00"/>
        <d v="2020-06-07T00:00:00"/>
        <d v="2020-06-06T00:00:00"/>
        <d v="2020-06-05T00:00:00"/>
        <d v="2020-06-29T00:00:00"/>
        <d v="2020-06-28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5-04T00:00:00"/>
        <d v="2020-05-03T00:00:00"/>
        <d v="2020-05-02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10T00:00:00"/>
        <d v="2020-05-09T00:00:00"/>
        <d v="2020-05-08T00:00:00"/>
        <d v="2020-05-07T00:00:00"/>
        <d v="2020-05-06T00:00:00"/>
        <d v="2020-05-05T00:00:00"/>
        <d v="2020-05-01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2T00:00:00"/>
        <d v="2020-04-11T00:00:00"/>
        <d v="2020-04-10T00:00:00"/>
        <d v="2020-04-09T00:00:00"/>
        <d v="2020-04-08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20-01-30T00:00:00"/>
        <d v="2020-01-29T00:00:00"/>
        <d v="2020-01-28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</sharedItems>
      <fieldGroup par="19" base="1">
        <rangePr groupBy="days" startDate="2020-01-01T00:00:00" endDate="2020-12-31T00:00:00"/>
        <groupItems count="368">
          <s v="&lt;01/01/2020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31/12/2020"/>
        </groupItems>
      </fieldGroup>
    </cacheField>
    <cacheField name="Mês" numFmtId="0">
      <sharedItems containsSemiMixedTypes="0" containsString="0" containsNumber="1" containsInteger="1" minValue="1" maxValue="12" count="12"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Valor" numFmtId="44">
      <sharedItems containsSemiMixedTypes="0" containsString="0" containsNumber="1" containsInteger="1" minValue="30" maxValue="8400" count="48">
        <n v="1200"/>
        <n v="340"/>
        <n v="400"/>
        <n v="2400"/>
        <n v="500"/>
        <n v="80"/>
        <n v="70"/>
        <n v="30"/>
        <n v="1600"/>
        <n v="2800"/>
        <n v="120"/>
        <n v="100"/>
        <n v="600"/>
        <n v="350"/>
        <n v="270"/>
        <n v="1500"/>
        <n v="1800"/>
        <n v="60"/>
        <n v="76"/>
        <n v="510"/>
        <n v="800"/>
        <n v="750"/>
        <n v="5600"/>
        <n v="240"/>
        <n v="180"/>
        <n v="2700"/>
        <n v="140"/>
        <n v="152"/>
        <n v="170"/>
        <n v="40"/>
        <n v="35"/>
        <n v="90"/>
        <n v="4800"/>
        <n v="200"/>
        <n v="810"/>
        <n v="1000"/>
        <n v="250"/>
        <n v="105"/>
        <n v="3200"/>
        <n v="160"/>
        <n v="300"/>
        <n v="700"/>
        <n v="900"/>
        <n v="210"/>
        <n v="228"/>
        <n v="1050"/>
        <n v="540"/>
        <n v="8400"/>
      </sharedItems>
    </cacheField>
    <cacheField name="Código Produto" numFmtId="0">
      <sharedItems/>
    </cacheField>
    <cacheField name="Produto" numFmtId="0">
      <sharedItems count="22">
        <s v="Tenis Adidas NMD_R1"/>
        <s v="Tenis Adidas Falcon "/>
        <s v="Tenis Adidas Ventice"/>
        <s v="Tenis Nike Revolution 5"/>
        <s v="Tenis Nike SB Check"/>
        <s v="Tenis Nike Air"/>
        <s v="Anilha 25 kg"/>
        <s v="Anilha 15 kg"/>
        <s v="Anilha 5 kg"/>
        <s v="Mountain Bike Caloi Vulcan - Aro 29"/>
        <s v="Mountain Bike Caloi 29 - Aro 29"/>
        <s v="Bermuda Puma Essentials Sweet"/>
        <s v="Camiseta Puma Essentials"/>
        <s v="Bola Jabulani Copa Fifa 2010"/>
        <s v="Tenis New Balace 27"/>
        <s v="Tenis New Balance 247"/>
        <s v="Tenis Nike RENEW In-Season TR-9"/>
        <s v="Tenis New Balance 500"/>
        <s v="Tênis New Balance Fresh Foam 1080v10"/>
        <s v="Bermuda Nike Dry Trophy"/>
        <s v="Calçao Nike Dry-fit Academy"/>
        <s v="Bermuda Nike Flex Short Woven"/>
      </sharedItems>
    </cacheField>
    <cacheField name="Gênero" numFmtId="0">
      <sharedItems/>
    </cacheField>
    <cacheField name="Categoria" numFmtId="0">
      <sharedItems/>
    </cacheField>
    <cacheField name="Marca" numFmtId="0">
      <sharedItems/>
    </cacheField>
    <cacheField name="Esporte" numFmtId="0">
      <sharedItems/>
    </cacheField>
    <cacheField name="Quantidade" numFmtId="0">
      <sharedItems containsSemiMixedTypes="0" containsString="0" containsNumber="1" containsInteger="1" minValue="1" maxValue="3"/>
    </cacheField>
    <cacheField name="Cod. Funcionário" numFmtId="0">
      <sharedItems/>
    </cacheField>
    <cacheField name="Funcionário" numFmtId="0">
      <sharedItems count="9">
        <s v="Miguel Souza"/>
        <s v="Pedro Mendes"/>
        <s v="Felipe Ragne"/>
        <s v="Gabriel Lanza"/>
        <s v="Alice Moreira"/>
        <s v="Lucca Junior"/>
        <s v="Mateus Azevedo"/>
        <s v="Sofia Teles"/>
        <s v="Júlia Peres"/>
      </sharedItems>
    </cacheField>
    <cacheField name="Bairro" numFmtId="0">
      <sharedItems/>
    </cacheField>
    <cacheField name="Cidade" numFmtId="0">
      <sharedItems count="4">
        <s v="Presidente Prudente"/>
        <s v="Alvares Machado"/>
        <s v="Presidente Epitacio"/>
        <s v="Presidente Bernades"/>
      </sharedItems>
    </cacheField>
    <cacheField name="Cod. Cliente" numFmtId="0">
      <sharedItems/>
    </cacheField>
    <cacheField name="Cliente" numFmtId="0">
      <sharedItems count="50">
        <s v="Hellen Maia"/>
        <s v="Ana Maria"/>
        <s v="Mateus Ragne"/>
        <s v="Larissa Souza"/>
        <s v="Lívia Carol"/>
        <s v="Bruna Oliveira"/>
        <s v="Samira Sanches"/>
        <s v="Gilberto Oliveira"/>
        <s v="Igor Pedro"/>
        <s v="Roberto Mendes"/>
        <s v="Heitor Kuller"/>
        <s v="Luana Pereira"/>
        <s v="Leticia Manu"/>
        <s v="João Lucas"/>
        <s v="Amanda Peres"/>
        <s v="Sofia Pinto"/>
        <s v="João Vitor"/>
        <s v="Mateus Yan"/>
        <s v="Roberto Oliveira"/>
        <s v="Leonardo Freire"/>
        <s v="Ryan Soares"/>
        <s v="Luciana Silva"/>
        <s v="Pedro Silva"/>
        <s v="Felipe Moraes"/>
        <s v="Junior Leite"/>
        <s v="Matheus Enbu"/>
        <s v="Davi Teres"/>
        <s v="Lucca Luiz"/>
        <s v="Amanda Flores"/>
        <s v="Lourdes Souza"/>
        <s v="Bernardo Santo"/>
        <s v="Gabriel Caval"/>
        <s v="Luiz Carlos"/>
        <s v="Junior Azevedo"/>
        <s v="Isabela Pereira"/>
        <s v="Teles Mendes"/>
        <s v="Alice Pontes"/>
        <s v="Manuela Rita"/>
        <s v="Júlia Matias"/>
        <s v="João Pedro"/>
        <s v="Anderson Silva"/>
        <s v="Ana Carla"/>
        <s v="Maria Maia"/>
        <s v="Pedro Henrique"/>
        <s v="Miguel Salmão"/>
        <s v="Rodrigo Souza"/>
        <s v="Gabriel Lanza"/>
        <s v="Sara Neves"/>
        <s v="Pedro Roberto"/>
        <s v="Arthur Urtigo"/>
      </sharedItems>
    </cacheField>
    <cacheField name="Bairro2" numFmtId="0">
      <sharedItems/>
    </cacheField>
    <cacheField name="Cidade2" numFmtId="0">
      <sharedItems/>
    </cacheField>
    <cacheField name="Meses" numFmtId="0" databaseField="0">
      <fieldGroup base="1">
        <rangePr groupBy="months" startDate="2020-01-01T00:00:00" endDate="2020-12-31T00:00:00"/>
        <groupItems count="14">
          <s v="&lt;01/01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31/12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s v="P22"/>
    <x v="0"/>
    <x v="0"/>
    <s v="Bicicletas"/>
    <s v="Caloi"/>
    <x v="0"/>
    <n v="1000"/>
    <n v="1600"/>
    <n v="16"/>
    <n v="40000"/>
    <n v="3200"/>
    <n v="3200"/>
    <n v="1600"/>
    <n v="4800"/>
    <n v="3200"/>
    <n v="1600"/>
    <n v="1600"/>
    <n v="1600"/>
    <n v="4800"/>
    <n v="3200"/>
    <n v="8000"/>
    <n v="3200"/>
  </r>
  <r>
    <s v="P21"/>
    <x v="1"/>
    <x v="0"/>
    <s v="Bicicletas"/>
    <s v="Caloi"/>
    <x v="0"/>
    <n v="1500"/>
    <n v="2800"/>
    <n v="16"/>
    <n v="81200"/>
    <n v="5600"/>
    <n v="11200"/>
    <n v="2800"/>
    <n v="16800"/>
    <n v="2800"/>
    <n v="5600"/>
    <n v="5600"/>
    <n v="2800"/>
    <n v="5600"/>
    <n v="2800"/>
    <n v="11200"/>
    <n v="8400"/>
  </r>
  <r>
    <s v="P20"/>
    <x v="2"/>
    <x v="0"/>
    <s v="Bermuda  "/>
    <s v="Puma"/>
    <x v="1"/>
    <n v="30"/>
    <n v="80"/>
    <n v="18"/>
    <n v="2960"/>
    <n v="320"/>
    <n v="400"/>
    <n v="240"/>
    <n v="400"/>
    <n v="160"/>
    <n v="80"/>
    <n v="80"/>
    <n v="160"/>
    <n v="160"/>
    <n v="240"/>
    <n v="400"/>
    <n v="320"/>
  </r>
  <r>
    <s v="P19"/>
    <x v="3"/>
    <x v="1"/>
    <s v="Camisas"/>
    <s v="Puma"/>
    <x v="2"/>
    <n v="30"/>
    <n v="60"/>
    <n v="21"/>
    <n v="2820"/>
    <n v="300"/>
    <n v="120"/>
    <n v="180"/>
    <n v="240"/>
    <n v="300"/>
    <n v="300"/>
    <n v="180"/>
    <n v="360"/>
    <n v="240"/>
    <n v="60"/>
    <n v="240"/>
    <n v="300"/>
  </r>
  <r>
    <s v="P18"/>
    <x v="4"/>
    <x v="0"/>
    <s v="Esporte e Lazer"/>
    <s v="Nike"/>
    <x v="3"/>
    <n v="50"/>
    <n v="100"/>
    <n v="22"/>
    <n v="4300"/>
    <n v="400"/>
    <n v="400"/>
    <n v="300"/>
    <n v="400"/>
    <n v="300"/>
    <n v="400"/>
    <n v="300"/>
    <n v="300"/>
    <n v="500"/>
    <n v="300"/>
    <n v="500"/>
    <n v="200"/>
  </r>
  <r>
    <s v="P17"/>
    <x v="5"/>
    <x v="0"/>
    <s v="Esporte"/>
    <s v="NB"/>
    <x v="4"/>
    <n v="100"/>
    <n v="300"/>
    <n v="22"/>
    <n v="14400"/>
    <n v="1200"/>
    <n v="900"/>
    <n v="900"/>
    <n v="1500"/>
    <n v="1200"/>
    <n v="1200"/>
    <n v="300"/>
    <n v="1800"/>
    <n v="1500"/>
    <n v="1800"/>
    <n v="900"/>
    <n v="1200"/>
  </r>
  <r>
    <s v="P16"/>
    <x v="6"/>
    <x v="1"/>
    <s v="Lazer e Casual"/>
    <s v="NB"/>
    <x v="1"/>
    <n v="200"/>
    <n v="350"/>
    <n v="22"/>
    <n v="14350"/>
    <n v="700"/>
    <n v="2100"/>
    <n v="350"/>
    <n v="1750"/>
    <n v="1050"/>
    <n v="1400"/>
    <n v="1050"/>
    <n v="1750"/>
    <n v="1400"/>
    <n v="1050"/>
    <n v="1050"/>
    <n v="700"/>
  </r>
  <r>
    <s v="P15"/>
    <x v="7"/>
    <x v="0"/>
    <s v="Casual"/>
    <s v="Nike"/>
    <x v="1"/>
    <n v="200"/>
    <n v="270"/>
    <n v="22"/>
    <n v="9990"/>
    <n v="540"/>
    <n v="1350"/>
    <n v="270"/>
    <n v="810"/>
    <n v="810"/>
    <n v="1080"/>
    <n v="540"/>
    <n v="810"/>
    <n v="1080"/>
    <n v="1080"/>
    <n v="1080"/>
    <n v="540"/>
  </r>
  <r>
    <s v="P14"/>
    <x v="8"/>
    <x v="2"/>
    <s v="Casual"/>
    <s v="NB"/>
    <x v="1"/>
    <n v="300"/>
    <n v="500"/>
    <n v="24"/>
    <n v="25000"/>
    <n v="2500"/>
    <n v="3000"/>
    <n v="2000"/>
    <n v="2500"/>
    <n v="2000"/>
    <n v="2000"/>
    <n v="1000"/>
    <n v="2000"/>
    <n v="2000"/>
    <n v="2000"/>
    <n v="2000"/>
    <n v="2000"/>
  </r>
  <r>
    <s v="P13"/>
    <x v="9"/>
    <x v="2"/>
    <s v="Corrida"/>
    <s v="NB"/>
    <x v="5"/>
    <n v="200"/>
    <n v="900"/>
    <n v="24"/>
    <n v="45900"/>
    <n v="3600"/>
    <n v="4500"/>
    <n v="3600"/>
    <n v="1800"/>
    <n v="2700"/>
    <n v="3600"/>
    <n v="4500"/>
    <n v="5400"/>
    <n v="3600"/>
    <n v="4500"/>
    <n v="3600"/>
    <n v="4500"/>
  </r>
  <r>
    <s v="P12"/>
    <x v="10"/>
    <x v="0"/>
    <s v="Corrida e Lazer"/>
    <s v="Nike"/>
    <x v="5"/>
    <n v="30"/>
    <n v="60"/>
    <n v="24"/>
    <n v="2700"/>
    <n v="300"/>
    <n v="180"/>
    <n v="360"/>
    <n v="240"/>
    <n v="240"/>
    <n v="120"/>
    <n v="180"/>
    <n v="240"/>
    <n v="180"/>
    <n v="180"/>
    <n v="300"/>
    <n v="180"/>
  </r>
  <r>
    <s v="P11"/>
    <x v="11"/>
    <x v="1"/>
    <s v="Esporte"/>
    <s v="Nike"/>
    <x v="0"/>
    <n v="20"/>
    <n v="70"/>
    <n v="24"/>
    <n v="3150"/>
    <n v="140"/>
    <n v="280"/>
    <n v="350"/>
    <n v="350"/>
    <n v="280"/>
    <n v="350"/>
    <n v="210"/>
    <n v="140"/>
    <n v="280"/>
    <n v="350"/>
    <n v="210"/>
    <n v="210"/>
  </r>
  <r>
    <s v="P10"/>
    <x v="12"/>
    <x v="1"/>
    <s v="Esporte e Lazer"/>
    <s v="Nike"/>
    <x v="0"/>
    <n v="40"/>
    <n v="76"/>
    <n v="24"/>
    <n v="3420"/>
    <n v="304"/>
    <n v="456"/>
    <n v="152"/>
    <n v="304"/>
    <n v="304"/>
    <n v="228"/>
    <n v="380"/>
    <n v="228"/>
    <n v="228"/>
    <n v="380"/>
    <n v="228"/>
    <n v="228"/>
  </r>
  <r>
    <s v="P9"/>
    <x v="13"/>
    <x v="0"/>
    <s v="Lazer"/>
    <s v="Adidas"/>
    <x v="0"/>
    <n v="300"/>
    <n v="600"/>
    <n v="25"/>
    <n v="29400"/>
    <n v="3000"/>
    <n v="1800"/>
    <n v="3600"/>
    <n v="2400"/>
    <n v="1800"/>
    <n v="1800"/>
    <n v="2400"/>
    <n v="1800"/>
    <n v="3600"/>
    <n v="1800"/>
    <n v="2400"/>
    <n v="3000"/>
  </r>
  <r>
    <s v="P8"/>
    <x v="14"/>
    <x v="2"/>
    <s v="Esporte"/>
    <s v="Adidas"/>
    <x v="6"/>
    <n v="50"/>
    <n v="170"/>
    <n v="25"/>
    <n v="8670"/>
    <n v="850"/>
    <n v="510"/>
    <n v="680"/>
    <n v="340"/>
    <n v="850"/>
    <n v="680"/>
    <n v="1020"/>
    <n v="680"/>
    <n v="510"/>
    <n v="680"/>
    <n v="850"/>
    <n v="1020"/>
  </r>
  <r>
    <s v="P7"/>
    <x v="15"/>
    <x v="1"/>
    <s v="Esporte e Lazer"/>
    <s v="Adidas"/>
    <x v="5"/>
    <n v="200"/>
    <n v="400"/>
    <n v="25"/>
    <n v="20000"/>
    <n v="2000"/>
    <n v="2000"/>
    <n v="1600"/>
    <n v="1600"/>
    <n v="1600"/>
    <n v="1600"/>
    <n v="1600"/>
    <n v="1200"/>
    <n v="1600"/>
    <n v="2000"/>
    <n v="1200"/>
    <n v="2000"/>
  </r>
  <r>
    <s v="P6"/>
    <x v="16"/>
    <x v="1"/>
    <s v="Esporte e Lazer"/>
    <s v="Nike"/>
    <x v="0"/>
    <n v="500"/>
    <n v="800"/>
    <n v="25"/>
    <n v="37600"/>
    <n v="3200"/>
    <n v="4000"/>
    <n v="3200"/>
    <n v="1600"/>
    <n v="2400"/>
    <n v="4000"/>
    <n v="2400"/>
    <n v="1600"/>
    <n v="2400"/>
    <n v="3200"/>
    <n v="3200"/>
    <n v="6400"/>
  </r>
  <r>
    <s v="P5"/>
    <x v="17"/>
    <x v="0"/>
    <s v="Esporte e Lazer"/>
    <s v="Nike"/>
    <x v="0"/>
    <n v="250"/>
    <n v="400"/>
    <n v="25"/>
    <n v="22000"/>
    <n v="2000"/>
    <n v="1200"/>
    <n v="1600"/>
    <n v="2400"/>
    <n v="1600"/>
    <n v="1200"/>
    <n v="1600"/>
    <n v="2000"/>
    <n v="2000"/>
    <n v="2000"/>
    <n v="2400"/>
    <n v="2000"/>
  </r>
  <r>
    <s v="P4"/>
    <x v="18"/>
    <x v="0"/>
    <s v="Corrida e Lazer"/>
    <s v="Nike"/>
    <x v="0"/>
    <n v="100"/>
    <n v="250"/>
    <n v="25"/>
    <n v="13000"/>
    <n v="1000"/>
    <n v="750"/>
    <n v="1250"/>
    <n v="1000"/>
    <n v="1000"/>
    <n v="1500"/>
    <n v="1250"/>
    <n v="500"/>
    <n v="1000"/>
    <n v="1000"/>
    <n v="750"/>
    <n v="2000"/>
  </r>
  <r>
    <s v="P3"/>
    <x v="19"/>
    <x v="0"/>
    <s v="Musculaçao"/>
    <s v="Strongbrand"/>
    <x v="6"/>
    <n v="25"/>
    <n v="40"/>
    <n v="25"/>
    <n v="2200"/>
    <n v="200"/>
    <n v="240"/>
    <n v="120"/>
    <n v="200"/>
    <n v="200"/>
    <n v="120"/>
    <n v="240"/>
    <n v="160"/>
    <n v="160"/>
    <n v="160"/>
    <n v="200"/>
    <n v="200"/>
  </r>
  <r>
    <s v="P2"/>
    <x v="20"/>
    <x v="0"/>
    <s v="Musculaçao"/>
    <s v="Strongbrand"/>
    <x v="6"/>
    <n v="15"/>
    <n v="35"/>
    <n v="27"/>
    <n v="1855"/>
    <n v="70"/>
    <n v="140"/>
    <n v="140"/>
    <n v="210"/>
    <n v="175"/>
    <n v="140"/>
    <n v="105"/>
    <n v="210"/>
    <n v="140"/>
    <n v="210"/>
    <n v="140"/>
    <n v="175"/>
  </r>
  <r>
    <s v="P1"/>
    <x v="21"/>
    <x v="0"/>
    <s v="Musculaçao"/>
    <s v="Strongbrand"/>
    <x v="6"/>
    <n v="10"/>
    <n v="30"/>
    <n v="26"/>
    <n v="1710"/>
    <n v="120"/>
    <n v="120"/>
    <n v="120"/>
    <n v="210"/>
    <n v="120"/>
    <n v="180"/>
    <n v="90"/>
    <n v="180"/>
    <n v="90"/>
    <n v="180"/>
    <n v="12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">
  <r>
    <s v="C1"/>
    <x v="0"/>
    <s v="159.879.896-66"/>
    <s v="Rua Joao Gabriel"/>
    <s v="Centro"/>
    <x v="0"/>
    <s v="98766-8908"/>
    <s v="pedrohen@hotmail.com"/>
    <n v="12"/>
    <n v="9279"/>
    <n v="35"/>
    <n v="1828"/>
    <n v="0"/>
    <n v="310"/>
    <n v="0"/>
    <n v="380"/>
    <n v="910"/>
    <n v="76"/>
    <n v="5600"/>
    <n v="0"/>
    <n v="140"/>
    <n v="0"/>
  </r>
  <r>
    <s v="C2"/>
    <x v="1"/>
    <s v="159.879.896-67"/>
    <s v="Rua 7 de setembro"/>
    <s v="São José"/>
    <x v="1"/>
    <s v="98766-8909"/>
    <s v="Rodrigo@hotmail.com"/>
    <n v="10"/>
    <n v="6445"/>
    <n v="600"/>
    <n v="500"/>
    <n v="1500"/>
    <n v="1345"/>
    <n v="500"/>
    <n v="0"/>
    <n v="0"/>
    <n v="0"/>
    <n v="800"/>
    <n v="0"/>
    <n v="1200"/>
    <n v="0"/>
  </r>
  <r>
    <s v="C3"/>
    <x v="2"/>
    <s v="159.879.896-68"/>
    <s v="Rua Silvana"/>
    <s v="Raio do Sol"/>
    <x v="1"/>
    <s v="98766-8910"/>
    <s v="Pedro@hotmail.com"/>
    <n v="11"/>
    <n v="6270"/>
    <n v="1200"/>
    <n v="0"/>
    <n v="270"/>
    <n v="1320"/>
    <n v="1410"/>
    <n v="300"/>
    <n v="70"/>
    <n v="0"/>
    <n v="0"/>
    <n v="0"/>
    <n v="0"/>
    <n v="1700"/>
  </r>
  <r>
    <s v="C4"/>
    <x v="3"/>
    <s v="159.879.896-69"/>
    <s v="Rua Osvaldo Cruz"/>
    <s v="Centro"/>
    <x v="2"/>
    <s v="98766-8911"/>
    <s v="Lanza@hotmail.com"/>
    <n v="13"/>
    <n v="7418"/>
    <n v="2200"/>
    <n v="240"/>
    <n v="750"/>
    <n v="228"/>
    <n v="100"/>
    <n v="80"/>
    <n v="420"/>
    <n v="3050"/>
    <n v="0"/>
    <n v="350"/>
    <n v="0"/>
    <n v="0"/>
  </r>
  <r>
    <s v="C5"/>
    <x v="4"/>
    <s v="159.879.896-70"/>
    <s v="Rua Dom Pedro"/>
    <s v="Bela Vista"/>
    <x v="1"/>
    <s v="98766-8912"/>
    <s v="Samira@hotmail.com"/>
    <n v="10"/>
    <n v="7360"/>
    <n v="1500"/>
    <n v="0"/>
    <n v="0"/>
    <n v="0"/>
    <n v="540"/>
    <n v="0"/>
    <n v="0"/>
    <n v="1220"/>
    <n v="0"/>
    <n v="2100"/>
    <n v="1320"/>
    <n v="680"/>
  </r>
  <r>
    <s v="C6"/>
    <x v="5"/>
    <s v="159.879.896-71"/>
    <s v="Rua P. Prudente"/>
    <s v="Vila Paulista"/>
    <x v="0"/>
    <s v="98766-8913"/>
    <s v="Bruna@hotmail.com"/>
    <n v="7"/>
    <n v="2070"/>
    <n v="0"/>
    <n v="245"/>
    <n v="0"/>
    <n v="105"/>
    <n v="0"/>
    <n v="750"/>
    <n v="0"/>
    <n v="0"/>
    <n v="0"/>
    <n v="0"/>
    <n v="120"/>
    <n v="850"/>
  </r>
  <r>
    <s v="C7"/>
    <x v="6"/>
    <s v="159.879.896-72"/>
    <s v="Rua Vania de Paula"/>
    <s v="Matadouro"/>
    <x v="1"/>
    <s v="98766-8914"/>
    <s v="Felipe@hotmail.com"/>
    <n v="10"/>
    <n v="15310"/>
    <n v="3200"/>
    <n v="1200"/>
    <n v="140"/>
    <n v="0"/>
    <n v="0"/>
    <n v="0"/>
    <n v="0"/>
    <n v="3310"/>
    <n v="960"/>
    <n v="0"/>
    <n v="900"/>
    <n v="5600"/>
  </r>
  <r>
    <s v="C8"/>
    <x v="7"/>
    <s v="159.879.896-73"/>
    <s v="Rua 15 de Novembro"/>
    <s v="Centro"/>
    <x v="3"/>
    <s v="98766-8915"/>
    <s v="João@hotmail.com"/>
    <n v="9"/>
    <n v="3741"/>
    <n v="860"/>
    <n v="0"/>
    <n v="1600"/>
    <n v="0"/>
    <n v="0"/>
    <n v="976"/>
    <n v="200"/>
    <n v="0"/>
    <n v="0"/>
    <n v="0"/>
    <n v="105"/>
    <n v="0"/>
  </r>
  <r>
    <s v="C9"/>
    <x v="8"/>
    <s v="159.879.896-74"/>
    <s v="Rua dos Tucanos"/>
    <s v="São Lucas"/>
    <x v="2"/>
    <s v="98766-8916"/>
    <s v="Luiz@hotmail.com"/>
    <n v="12"/>
    <n v="6838"/>
    <n v="0"/>
    <n v="60"/>
    <n v="800"/>
    <n v="0"/>
    <n v="1890"/>
    <n v="1550"/>
    <n v="1028"/>
    <n v="0"/>
    <n v="0"/>
    <n v="200"/>
    <n v="1310"/>
    <n v="0"/>
  </r>
  <r>
    <s v="C10"/>
    <x v="9"/>
    <s v="159.879.896-75"/>
    <s v="Rua dos Papagaio"/>
    <s v="Vila Paulista"/>
    <x v="1"/>
    <s v="98766-8917"/>
    <s v="Ryan@hotmail.com"/>
    <n v="6"/>
    <n v="2862"/>
    <n v="0"/>
    <n v="0"/>
    <n v="0"/>
    <n v="0"/>
    <n v="1200"/>
    <n v="540"/>
    <n v="0"/>
    <n v="200"/>
    <n v="152"/>
    <n v="700"/>
    <n v="0"/>
    <n v="70"/>
  </r>
  <r>
    <s v="C11"/>
    <x v="10"/>
    <s v="159.879.896-76"/>
    <s v="Rua Cristóvão Colombo"/>
    <s v="Bela Vista"/>
    <x v="1"/>
    <s v="98766-8918"/>
    <s v="Joãoo@hotmail.com"/>
    <n v="12"/>
    <n v="8860"/>
    <n v="2280"/>
    <n v="600"/>
    <n v="0"/>
    <n v="790"/>
    <n v="0"/>
    <n v="0"/>
    <n v="0"/>
    <n v="1500"/>
    <n v="120"/>
    <n v="2970"/>
    <n v="0"/>
    <n v="600"/>
  </r>
  <r>
    <s v="C12"/>
    <x v="11"/>
    <s v="159.879.896-77"/>
    <s v="Rua Pixinguinha"/>
    <s v="Bela Vista"/>
    <x v="0"/>
    <s v="98766-8919"/>
    <s v="Leonardoo@hotmail.com"/>
    <n v="14"/>
    <n v="3387"/>
    <n v="540"/>
    <n v="0"/>
    <n v="0"/>
    <n v="0"/>
    <n v="140"/>
    <n v="100"/>
    <n v="0"/>
    <n v="105"/>
    <n v="130"/>
    <n v="1340"/>
    <n v="0"/>
    <n v="1032"/>
  </r>
  <r>
    <s v="C13"/>
    <x v="12"/>
    <s v="159.879.896-78"/>
    <s v="Rua Japão"/>
    <s v="Raio do Sol"/>
    <x v="1"/>
    <s v="98766-8920"/>
    <s v="Luciana@hotmail.com"/>
    <n v="7"/>
    <n v="1702"/>
    <n v="120"/>
    <n v="0"/>
    <n v="76"/>
    <n v="0"/>
    <n v="876"/>
    <n v="0"/>
    <n v="0"/>
    <n v="70"/>
    <n v="500"/>
    <n v="0"/>
    <n v="0"/>
    <n v="60"/>
  </r>
  <r>
    <s v="C14"/>
    <x v="13"/>
    <s v="159.879.896-79"/>
    <s v="Rua Argentina"/>
    <s v="São Lucas"/>
    <x v="2"/>
    <s v="98766-8921"/>
    <s v="Amanda@hotmail.com"/>
    <n v="7"/>
    <n v="3550"/>
    <n v="0"/>
    <n v="400"/>
    <n v="170"/>
    <n v="0"/>
    <n v="0"/>
    <n v="0"/>
    <n v="1600"/>
    <n v="0"/>
    <n v="1050"/>
    <n v="0"/>
    <n v="210"/>
    <n v="120"/>
  </r>
  <r>
    <s v="C15"/>
    <x v="14"/>
    <s v="159.879.896-80"/>
    <s v="Rua Girassol"/>
    <s v="Vila Paulista"/>
    <x v="1"/>
    <s v="98766-8922"/>
    <s v="Hellen@hotmail.com"/>
    <n v="20"/>
    <n v="14098"/>
    <n v="100"/>
    <n v="5760"/>
    <n v="0"/>
    <n v="0"/>
    <n v="340"/>
    <n v="920"/>
    <n v="0"/>
    <n v="1660"/>
    <n v="0"/>
    <n v="818"/>
    <n v="2100"/>
    <n v="2400"/>
  </r>
  <r>
    <s v="C16"/>
    <x v="15"/>
    <s v="159.879.896-81"/>
    <s v="Rua Bela Vista"/>
    <s v="Centro"/>
    <x v="0"/>
    <s v="98766-8923"/>
    <s v="Larissa@hotmail.com"/>
    <n v="12"/>
    <n v="10490"/>
    <n v="0"/>
    <n v="0"/>
    <n v="0"/>
    <n v="1380"/>
    <n v="400"/>
    <n v="480"/>
    <n v="0"/>
    <n v="0"/>
    <n v="0"/>
    <n v="4610"/>
    <n v="0"/>
    <n v="3620"/>
  </r>
  <r>
    <s v="C17"/>
    <x v="16"/>
    <s v="159.879.896-82"/>
    <s v="Rua Venceslau"/>
    <s v="Raio do Sol"/>
    <x v="3"/>
    <s v="98766-8924"/>
    <s v="Sara@hotmail.com"/>
    <n v="7"/>
    <n v="4102"/>
    <n v="980"/>
    <n v="0"/>
    <n v="0"/>
    <n v="160"/>
    <n v="0"/>
    <n v="1200"/>
    <n v="800"/>
    <n v="152"/>
    <n v="0"/>
    <n v="810"/>
    <n v="0"/>
    <n v="0"/>
  </r>
  <r>
    <s v="C18"/>
    <x v="17"/>
    <s v="159.879.896-83"/>
    <s v="Rua Manoel Souza"/>
    <s v="Centro"/>
    <x v="0"/>
    <s v="98766-8925"/>
    <s v="Ana@hotmail.com"/>
    <n v="9"/>
    <n v="10965"/>
    <n v="5600"/>
    <n v="1635"/>
    <n v="40"/>
    <n v="0"/>
    <n v="160"/>
    <n v="0"/>
    <n v="0"/>
    <n v="90"/>
    <n v="180"/>
    <n v="60"/>
    <n v="3200"/>
    <n v="0"/>
  </r>
  <r>
    <s v="C19"/>
    <x v="18"/>
    <s v="159.879.896-84"/>
    <s v="Rua Girafales"/>
    <s v="São José"/>
    <x v="1"/>
    <s v="98766-8926"/>
    <s v="Junior@hotmail.com"/>
    <n v="7"/>
    <n v="4932"/>
    <n v="0"/>
    <n v="0"/>
    <n v="0"/>
    <n v="0"/>
    <n v="0"/>
    <n v="540"/>
    <n v="2440"/>
    <n v="0"/>
    <n v="0"/>
    <n v="952"/>
    <n v="1000"/>
    <n v="0"/>
  </r>
  <r>
    <s v="C20"/>
    <x v="19"/>
    <s v="159.879.896-85"/>
    <s v="Rua Naruto"/>
    <s v="Bela Vista"/>
    <x v="2"/>
    <s v="98766-8927"/>
    <s v="Roberto@hotmail.com"/>
    <n v="20"/>
    <n v="25118"/>
    <n v="2028"/>
    <n v="0"/>
    <n v="2200"/>
    <n v="1860"/>
    <n v="2300"/>
    <n v="0"/>
    <n v="1520"/>
    <n v="1070"/>
    <n v="80"/>
    <n v="0"/>
    <n v="11200"/>
    <n v="2860"/>
  </r>
  <r>
    <s v="C21"/>
    <x v="20"/>
    <s v="159.879.896-86"/>
    <s v="Rua Saitama"/>
    <s v="Matadouro"/>
    <x v="1"/>
    <s v="98766-8928"/>
    <s v="Gilberto@hotmail.com"/>
    <n v="6"/>
    <n v="2505"/>
    <n v="0"/>
    <n v="230"/>
    <n v="1600"/>
    <n v="0"/>
    <n v="0"/>
    <n v="105"/>
    <n v="0"/>
    <n v="0"/>
    <n v="500"/>
    <n v="0"/>
    <n v="0"/>
    <n v="70"/>
  </r>
  <r>
    <s v="C22"/>
    <x v="21"/>
    <s v="159.879.896-87"/>
    <s v="Rua Paixao"/>
    <s v="Raio do Sol"/>
    <x v="1"/>
    <s v="98766-8929"/>
    <s v="Joãlucas@hotmail.com"/>
    <n v="15"/>
    <n v="7871"/>
    <n v="0"/>
    <n v="420"/>
    <n v="90"/>
    <n v="320"/>
    <n v="0"/>
    <n v="0"/>
    <n v="0"/>
    <n v="3000"/>
    <n v="900"/>
    <n v="195"/>
    <n v="200"/>
    <n v="2746"/>
  </r>
  <r>
    <s v="C23"/>
    <x v="22"/>
    <s v="159.879.896-88"/>
    <s v="Rua Martinopolis"/>
    <s v="Bela Vista"/>
    <x v="0"/>
    <s v="98766-8930"/>
    <s v="matyan@hotmail.com"/>
    <n v="9"/>
    <n v="3365"/>
    <n v="0"/>
    <n v="540"/>
    <n v="0"/>
    <n v="0"/>
    <n v="0"/>
    <n v="90"/>
    <n v="0"/>
    <n v="0"/>
    <n v="0"/>
    <n v="1300"/>
    <n v="300"/>
    <n v="1135"/>
  </r>
  <r>
    <s v="C24"/>
    <x v="23"/>
    <s v="159.879.896-89"/>
    <s v="Rua México"/>
    <s v="São José"/>
    <x v="1"/>
    <s v="98766-8931"/>
    <s v="Igorpedro@hotmail.com"/>
    <n v="8"/>
    <n v="4670"/>
    <n v="0"/>
    <n v="800"/>
    <n v="0"/>
    <n v="250"/>
    <n v="700"/>
    <n v="340"/>
    <n v="0"/>
    <n v="0"/>
    <n v="340"/>
    <n v="0"/>
    <n v="600"/>
    <n v="1640"/>
  </r>
  <r>
    <s v="C25"/>
    <x v="24"/>
    <s v="159.879.896-90"/>
    <s v="Rua Floriapo"/>
    <s v="São Lucas"/>
    <x v="2"/>
    <s v="98766-8932"/>
    <s v="Amandapp@hotmail.com"/>
    <n v="6"/>
    <n v="12580"/>
    <n v="0"/>
    <n v="0"/>
    <n v="900"/>
    <n v="8400"/>
    <n v="120"/>
    <n v="0"/>
    <n v="1600"/>
    <n v="0"/>
    <n v="0"/>
    <n v="0"/>
    <n v="60"/>
    <n v="1500"/>
  </r>
  <r>
    <s v="C26"/>
    <x v="25"/>
    <s v="159.879.896-91"/>
    <s v="Rua Rosa"/>
    <s v="Matadouro"/>
    <x v="1"/>
    <s v="98766-8933"/>
    <s v="Mariama@hotmail.com"/>
    <n v="8"/>
    <n v="8310"/>
    <n v="350"/>
    <n v="0"/>
    <n v="1600"/>
    <n v="0"/>
    <n v="0"/>
    <n v="4300"/>
    <n v="0"/>
    <n v="80"/>
    <n v="1600"/>
    <n v="0"/>
    <n v="380"/>
    <n v="0"/>
  </r>
  <r>
    <s v="C27"/>
    <x v="26"/>
    <s v="159.879.896-92"/>
    <s v="Rua Bela Vista"/>
    <s v="Centro"/>
    <x v="0"/>
    <s v="98766-8934"/>
    <s v="Letiici@hotmail.com"/>
    <n v="11"/>
    <n v="5795"/>
    <n v="670"/>
    <n v="1050"/>
    <n v="35"/>
    <n v="0"/>
    <n v="2130"/>
    <n v="0"/>
    <n v="60"/>
    <n v="250"/>
    <n v="0"/>
    <n v="1000"/>
    <n v="0"/>
    <n v="600"/>
  </r>
  <r>
    <s v="C28"/>
    <x v="27"/>
    <s v="159.879.896-93"/>
    <s v="Rua Venceslau"/>
    <s v="Raio do Sol"/>
    <x v="3"/>
    <s v="98766-8935"/>
    <s v="lulu@hotmail.com"/>
    <n v="6"/>
    <n v="5010"/>
    <n v="0"/>
    <n v="800"/>
    <n v="400"/>
    <n v="0"/>
    <n v="0"/>
    <n v="0"/>
    <n v="0"/>
    <n v="1600"/>
    <n v="1800"/>
    <n v="270"/>
    <n v="0"/>
    <n v="140"/>
  </r>
  <r>
    <s v="C29"/>
    <x v="28"/>
    <s v="159.879.896-94"/>
    <s v="Rua Manoel Souza"/>
    <s v="Centro"/>
    <x v="0"/>
    <s v="98766-8936"/>
    <s v="Ans@hotmail.com"/>
    <n v="7"/>
    <n v="7840"/>
    <n v="0"/>
    <n v="60"/>
    <n v="0"/>
    <n v="3200"/>
    <n v="0"/>
    <n v="0"/>
    <n v="0"/>
    <n v="0"/>
    <n v="300"/>
    <n v="2400"/>
    <n v="340"/>
    <n v="1540"/>
  </r>
  <r>
    <s v="C30"/>
    <x v="29"/>
    <s v="159.879.896-95"/>
    <s v="Rua Chaves"/>
    <s v="São José"/>
    <x v="1"/>
    <s v="98766-8937"/>
    <s v="Teles@hotmail.com"/>
    <n v="10"/>
    <n v="7502"/>
    <n v="1800"/>
    <n v="250"/>
    <n v="0"/>
    <n v="270"/>
    <n v="3200"/>
    <n v="0"/>
    <n v="0"/>
    <n v="500"/>
    <n v="130"/>
    <n v="0"/>
    <n v="1352"/>
    <n v="0"/>
  </r>
  <r>
    <s v="C31"/>
    <x v="30"/>
    <s v="159.879.896-96"/>
    <s v="Rua Naruto"/>
    <s v="Bela Vista"/>
    <x v="2"/>
    <s v="98766-8938"/>
    <s v="Robertdo@hotmail.com"/>
    <n v="11"/>
    <n v="9760"/>
    <n v="70"/>
    <n v="2400"/>
    <n v="1800"/>
    <n v="660"/>
    <n v="400"/>
    <n v="700"/>
    <n v="1050"/>
    <n v="0"/>
    <n v="1080"/>
    <n v="0"/>
    <n v="0"/>
    <n v="1600"/>
  </r>
  <r>
    <s v="C32"/>
    <x v="31"/>
    <s v="159.879.896-97"/>
    <s v="Rua Saitama"/>
    <s v="Matadouro"/>
    <x v="1"/>
    <s v="98766-8939"/>
    <s v="Luanna@hotmail.com"/>
    <n v="12"/>
    <n v="8695"/>
    <n v="0"/>
    <n v="360"/>
    <n v="0"/>
    <n v="70"/>
    <n v="1600"/>
    <n v="2400"/>
    <n v="2820"/>
    <n v="800"/>
    <n v="0"/>
    <n v="105"/>
    <n v="250"/>
    <n v="290"/>
  </r>
  <r>
    <s v="C33"/>
    <x v="32"/>
    <s v="159.879.896-98"/>
    <s v="Rua Saitama"/>
    <s v="Jardim Santa Clara"/>
    <x v="1"/>
    <s v="98366-8940"/>
    <s v="alice@hotmail.com"/>
    <n v="9"/>
    <n v="7425"/>
    <n v="35"/>
    <n v="2700"/>
    <n v="210"/>
    <n v="0"/>
    <n v="0"/>
    <n v="900"/>
    <n v="1800"/>
    <n v="180"/>
    <n v="0"/>
    <n v="800"/>
    <n v="800"/>
    <n v="0"/>
  </r>
  <r>
    <s v="C34"/>
    <x v="33"/>
    <s v="159.879.896-99"/>
    <s v="Rua Saitama"/>
    <s v="Jardim Santa Elisa"/>
    <x v="1"/>
    <s v="98766-8941"/>
    <s v="miguel@hotmail.com"/>
    <n v="10"/>
    <n v="18831"/>
    <n v="80"/>
    <n v="0"/>
    <n v="1040"/>
    <n v="9300"/>
    <n v="0"/>
    <n v="0"/>
    <n v="5635"/>
    <n v="0"/>
    <n v="0"/>
    <n v="2700"/>
    <n v="76"/>
    <n v="0"/>
  </r>
  <r>
    <s v="C35"/>
    <x v="34"/>
    <s v="159.879.896-100"/>
    <s v="Rua Messias Pereira dos Santos"/>
    <s v="Bosque Itaju"/>
    <x v="1"/>
    <s v="98766-8942"/>
    <s v="isabela@hotmail.com"/>
    <n v="10"/>
    <n v="2987"/>
    <n v="0"/>
    <n v="180"/>
    <n v="0"/>
    <n v="1500"/>
    <n v="1025"/>
    <n v="152"/>
    <n v="60"/>
    <n v="0"/>
    <n v="0"/>
    <n v="0"/>
    <n v="70"/>
    <n v="0"/>
  </r>
  <r>
    <s v="C36"/>
    <x v="35"/>
    <s v="159.879.896-101"/>
    <s v="Rua Moacyr Cestari"/>
    <s v="Brasil Novo"/>
    <x v="2"/>
    <s v="98766-8943"/>
    <s v="júlia@hotmail.com"/>
    <n v="10"/>
    <n v="4510"/>
    <n v="90"/>
    <n v="70"/>
    <n v="350"/>
    <n v="0"/>
    <n v="440"/>
    <n v="0"/>
    <n v="750"/>
    <n v="0"/>
    <n v="1010"/>
    <n v="600"/>
    <n v="1200"/>
    <n v="0"/>
  </r>
  <r>
    <s v="C37"/>
    <x v="36"/>
    <s v="159.879.896-102"/>
    <s v="Travessa Tazitsu"/>
    <s v="Cecap"/>
    <x v="1"/>
    <s v="98766-8944"/>
    <s v="lucca@hotmail.com"/>
    <n v="8"/>
    <n v="4850"/>
    <n v="1100"/>
    <n v="0"/>
    <n v="180"/>
    <n v="0"/>
    <n v="0"/>
    <n v="740"/>
    <n v="70"/>
    <n v="0"/>
    <n v="0"/>
    <n v="60"/>
    <n v="0"/>
    <n v="2700"/>
  </r>
  <r>
    <s v="C38"/>
    <x v="37"/>
    <s v="159.879.896-103"/>
    <s v="Rua Celeste Peruche"/>
    <s v="Centro"/>
    <x v="1"/>
    <s v="98766-8945"/>
    <s v="lívia@hotmail.com"/>
    <n v="9"/>
    <n v="4870"/>
    <n v="0"/>
    <n v="120"/>
    <n v="180"/>
    <n v="0"/>
    <n v="0"/>
    <n v="0"/>
    <n v="500"/>
    <n v="1200"/>
    <n v="1800"/>
    <n v="240"/>
    <n v="400"/>
    <n v="430"/>
  </r>
  <r>
    <s v="C39"/>
    <x v="38"/>
    <s v="159.879.896-104"/>
    <s v="Rua Praia Grande"/>
    <s v="Jardim Santa Olga"/>
    <x v="1"/>
    <s v="98766-8946"/>
    <s v="pedro@hotmail.com"/>
    <n v="6"/>
    <n v="3652"/>
    <n v="0"/>
    <n v="0"/>
    <n v="0"/>
    <n v="1450"/>
    <n v="500"/>
    <n v="0"/>
    <n v="152"/>
    <n v="0"/>
    <n v="1550"/>
    <n v="0"/>
    <n v="0"/>
    <n v="0"/>
  </r>
  <r>
    <s v="C40"/>
    <x v="39"/>
    <s v="159.879.896-105"/>
    <s v="Rua Valdemar Mendes"/>
    <s v="Jardim Santa Paula"/>
    <x v="1"/>
    <s v="98766-8947"/>
    <s v="manuela@hotmail.com"/>
    <n v="12"/>
    <n v="6885"/>
    <n v="0"/>
    <n v="1500"/>
    <n v="30"/>
    <n v="2400"/>
    <n v="0"/>
    <n v="0"/>
    <n v="510"/>
    <n v="630"/>
    <n v="100"/>
    <n v="80"/>
    <n v="1635"/>
    <n v="0"/>
  </r>
  <r>
    <s v="C41"/>
    <x v="40"/>
    <s v="159.879.896-106"/>
    <s v="Rua dos Girassóis"/>
    <s v="Jardim Santana"/>
    <x v="1"/>
    <s v="98766-8948"/>
    <s v="sofia@hotmail.com"/>
    <n v="16"/>
    <n v="19872"/>
    <n v="76"/>
    <n v="5600"/>
    <n v="1200"/>
    <n v="3760"/>
    <n v="0"/>
    <n v="0"/>
    <n v="300"/>
    <n v="70"/>
    <n v="4876"/>
    <n v="590"/>
    <n v="1600"/>
    <n v="1800"/>
  </r>
  <r>
    <s v="C42"/>
    <x v="41"/>
    <s v="159.879.896-107"/>
    <s v="Rua Orquideas"/>
    <s v="Jardim São Bento"/>
    <x v="1"/>
    <s v="98766-8949"/>
    <s v="matheus@hotmail.com"/>
    <n v="16"/>
    <n v="9393"/>
    <n v="1280"/>
    <n v="3398"/>
    <n v="185"/>
    <n v="0"/>
    <n v="80"/>
    <n v="1500"/>
    <n v="600"/>
    <n v="700"/>
    <n v="960"/>
    <n v="0"/>
    <n v="510"/>
    <n v="180"/>
  </r>
  <r>
    <s v="C43"/>
    <x v="42"/>
    <s v="159.879.896-108"/>
    <s v="Rua Catarina Mungo Pisssulin"/>
    <s v="Rua Catarina Mungo Pisssulin, 245"/>
    <x v="1"/>
    <s v="98766-8950"/>
    <s v="arthur@hotmail.com"/>
    <n v="6"/>
    <n v="2878"/>
    <n v="0"/>
    <n v="0"/>
    <n v="0"/>
    <n v="0"/>
    <n v="418"/>
    <n v="1260"/>
    <n v="1200"/>
    <n v="0"/>
    <n v="0"/>
    <n v="0"/>
    <n v="0"/>
    <n v="0"/>
  </r>
  <r>
    <s v="C44"/>
    <x v="43"/>
    <s v="159.879.896-109"/>
    <s v="Rua Maurí­lio Fernandes"/>
    <s v="Vila Áurea"/>
    <x v="1"/>
    <s v="98766-8951"/>
    <s v="bernardo@hotmail.com"/>
    <n v="10"/>
    <n v="7740"/>
    <n v="0"/>
    <n v="1050"/>
    <n v="2700"/>
    <n v="1290"/>
    <n v="90"/>
    <n v="1040"/>
    <n v="0"/>
    <n v="0"/>
    <n v="770"/>
    <n v="0"/>
    <n v="0"/>
    <n v="800"/>
  </r>
  <r>
    <s v="C45"/>
    <x v="44"/>
    <s v="159.879.896-110"/>
    <s v="Rua Palmares"/>
    <s v="Vila Aurélio"/>
    <x v="1"/>
    <s v="98766-8952"/>
    <s v="davi@hotmail.com"/>
    <n v="10"/>
    <n v="9630"/>
    <n v="510"/>
    <n v="3000"/>
    <n v="1800"/>
    <n v="270"/>
    <n v="0"/>
    <n v="0"/>
    <n v="0"/>
    <n v="2100"/>
    <n v="1500"/>
    <n v="0"/>
    <n v="180"/>
    <n v="270"/>
  </r>
  <r>
    <s v="C46"/>
    <x v="45"/>
    <s v="159.879.896-111"/>
    <s v="Rua Francisco Lopes"/>
    <s v="Vila Barbeiro"/>
    <x v="1"/>
    <s v="98766-8953"/>
    <s v="gabriel@hotmail.com"/>
    <n v="9"/>
    <n v="11961"/>
    <n v="0"/>
    <n v="0"/>
    <n v="76"/>
    <n v="0"/>
    <n v="1550"/>
    <n v="5600"/>
    <n v="0"/>
    <n v="1685"/>
    <n v="0"/>
    <n v="2700"/>
    <n v="350"/>
    <n v="0"/>
  </r>
  <r>
    <s v="C47"/>
    <x v="46"/>
    <s v="159.879.896-112"/>
    <s v="Rua Alexandre Salesiani"/>
    <s v="Vila Boa Vista"/>
    <x v="1"/>
    <s v="98766-8954"/>
    <s v="heitor@hotmail.com"/>
    <n v="13"/>
    <n v="12046"/>
    <n v="240"/>
    <n v="340"/>
    <n v="0"/>
    <n v="976"/>
    <n v="0"/>
    <n v="2200"/>
    <n v="0"/>
    <n v="180"/>
    <n v="80"/>
    <n v="0"/>
    <n v="7500"/>
    <n v="530"/>
  </r>
  <r>
    <s v="C48"/>
    <x v="47"/>
    <s v="159.879.896-113"/>
    <s v="Rua Aurelina Maria de Jesus Costa"/>
    <s v="Vila Boa Vista"/>
    <x v="1"/>
    <s v="98766-8955"/>
    <s v="anderson@hotmail.com"/>
    <n v="9"/>
    <n v="3080"/>
    <n v="800"/>
    <n v="700"/>
    <n v="180"/>
    <n v="0"/>
    <n v="0"/>
    <n v="0"/>
    <n v="500"/>
    <n v="40"/>
    <n v="500"/>
    <n v="0"/>
    <n v="360"/>
    <n v="0"/>
  </r>
  <r>
    <s v="C49"/>
    <x v="48"/>
    <s v="159.879.896-114"/>
    <s v="Rua Victório Gava"/>
    <s v="Vila Aurélio"/>
    <x v="1"/>
    <s v="98766-8956"/>
    <s v="juniorleite@hotmail.com"/>
    <n v="10"/>
    <n v="7865"/>
    <n v="3200"/>
    <n v="0"/>
    <n v="0"/>
    <n v="60"/>
    <n v="2980"/>
    <n v="35"/>
    <n v="30"/>
    <n v="400"/>
    <n v="800"/>
    <n v="120"/>
    <n v="0"/>
    <n v="240"/>
  </r>
  <r>
    <s v="C50"/>
    <x v="49"/>
    <s v="159.879.896-115"/>
    <s v="Rua Floriapo"/>
    <s v="Matadouro"/>
    <x v="0"/>
    <s v="98766-8957"/>
    <s v="mateusragne@hotmail.com"/>
    <n v="10"/>
    <n v="9450"/>
    <n v="0"/>
    <n v="810"/>
    <n v="3310"/>
    <n v="180"/>
    <n v="0"/>
    <n v="0"/>
    <n v="0"/>
    <n v="0"/>
    <n v="2900"/>
    <n v="1100"/>
    <n v="0"/>
    <n v="11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7">
  <r>
    <n v="507"/>
    <x v="0"/>
    <x v="0"/>
    <x v="0"/>
    <s v="P9"/>
    <x v="0"/>
    <s v="Ambos"/>
    <s v="Lazer"/>
    <s v="Adidas"/>
    <s v="Geral"/>
    <n v="2"/>
    <s v="F1"/>
    <x v="0"/>
    <s v="Jardim São Bento"/>
    <x v="0"/>
    <s v="C15"/>
    <x v="0"/>
    <s v="Vila Paulista"/>
    <s v="P. Prudente"/>
  </r>
  <r>
    <n v="506"/>
    <x v="1"/>
    <x v="0"/>
    <x v="1"/>
    <s v="P8"/>
    <x v="1"/>
    <s v="Feminino"/>
    <s v="Esporte"/>
    <s v="Adidas"/>
    <s v="Musculaçao"/>
    <n v="2"/>
    <s v="F9"/>
    <x v="1"/>
    <s v="Centro"/>
    <x v="1"/>
    <s v="C29"/>
    <x v="1"/>
    <s v="Centro"/>
    <s v="Alv.Machado"/>
  </r>
  <r>
    <n v="505"/>
    <x v="2"/>
    <x v="0"/>
    <x v="2"/>
    <s v="P7"/>
    <x v="2"/>
    <s v="Masculino"/>
    <s v="Esporte e Lazer"/>
    <s v="Adidas"/>
    <s v="Corrida"/>
    <n v="1"/>
    <s v="F3"/>
    <x v="2"/>
    <s v="Vila Aurélio"/>
    <x v="1"/>
    <s v="C50"/>
    <x v="2"/>
    <s v="Matadouro"/>
    <s v="Alv.Machado"/>
  </r>
  <r>
    <n v="504"/>
    <x v="3"/>
    <x v="0"/>
    <x v="3"/>
    <s v="P6"/>
    <x v="3"/>
    <s v="Masculino"/>
    <s v="Esporte e Lazer"/>
    <s v="Nike"/>
    <s v="Geral"/>
    <n v="3"/>
    <s v="F1"/>
    <x v="0"/>
    <s v="Jardim São Bento"/>
    <x v="0"/>
    <s v="C16"/>
    <x v="3"/>
    <s v="Centro"/>
    <s v="Alv.Machado"/>
  </r>
  <r>
    <n v="503"/>
    <x v="4"/>
    <x v="0"/>
    <x v="2"/>
    <s v="P5"/>
    <x v="4"/>
    <s v="Ambos"/>
    <s v="Esporte e Lazer"/>
    <s v="Nike"/>
    <s v="Geral"/>
    <n v="1"/>
    <s v="F6"/>
    <x v="3"/>
    <s v="Vila Boa Vista"/>
    <x v="2"/>
    <s v="C38"/>
    <x v="4"/>
    <s v="Centro"/>
    <s v="P. Prudente"/>
  </r>
  <r>
    <n v="502"/>
    <x v="5"/>
    <x v="0"/>
    <x v="4"/>
    <s v="P4"/>
    <x v="5"/>
    <s v="Ambos"/>
    <s v="Corrida e Lazer"/>
    <s v="Nike"/>
    <s v="Geral"/>
    <n v="2"/>
    <s v="F4"/>
    <x v="4"/>
    <s v="Jardim São Bento"/>
    <x v="0"/>
    <s v="C6"/>
    <x v="5"/>
    <s v="Vila Paulista"/>
    <s v="Alv.Machado"/>
  </r>
  <r>
    <n v="501"/>
    <x v="6"/>
    <x v="0"/>
    <x v="5"/>
    <s v="P3"/>
    <x v="6"/>
    <s v="Ambos"/>
    <s v="Musculaçao"/>
    <s v="Strongbrand"/>
    <s v="Musculaçao"/>
    <n v="2"/>
    <s v="F7"/>
    <x v="5"/>
    <s v="Cecap"/>
    <x v="0"/>
    <s v="C5"/>
    <x v="6"/>
    <s v="Bela Vista"/>
    <s v="P. Prudente"/>
  </r>
  <r>
    <n v="500"/>
    <x v="7"/>
    <x v="0"/>
    <x v="6"/>
    <s v="P2"/>
    <x v="7"/>
    <s v="Ambos"/>
    <s v="Musculaçao"/>
    <s v="Strongbrand"/>
    <s v="Musculaçao"/>
    <n v="2"/>
    <s v="F2"/>
    <x v="6"/>
    <s v="Jardim paulista"/>
    <x v="0"/>
    <s v="C21"/>
    <x v="7"/>
    <s v="Matadouro"/>
    <s v="P. Prudente"/>
  </r>
  <r>
    <n v="499"/>
    <x v="8"/>
    <x v="0"/>
    <x v="7"/>
    <s v="P1"/>
    <x v="8"/>
    <s v="Ambos"/>
    <s v="Musculaçao"/>
    <s v="Strongbrand"/>
    <s v="Musculaçao"/>
    <n v="1"/>
    <s v="F8"/>
    <x v="7"/>
    <s v="Brasil Novo"/>
    <x v="3"/>
    <s v="C38"/>
    <x v="4"/>
    <s v="Centro"/>
    <s v="P. Prudente"/>
  </r>
  <r>
    <n v="498"/>
    <x v="9"/>
    <x v="0"/>
    <x v="8"/>
    <s v="P22"/>
    <x v="9"/>
    <s v="Ambos"/>
    <s v="Bicicletas"/>
    <s v="Caloi"/>
    <s v="Geral"/>
    <n v="1"/>
    <s v="F9"/>
    <x v="1"/>
    <s v="Centro"/>
    <x v="1"/>
    <s v="C24"/>
    <x v="8"/>
    <s v="São José"/>
    <s v="P. Prudente"/>
  </r>
  <r>
    <n v="497"/>
    <x v="10"/>
    <x v="0"/>
    <x v="9"/>
    <s v="P21"/>
    <x v="10"/>
    <s v="Ambos"/>
    <s v="Bicicletas"/>
    <s v="Caloi"/>
    <s v="Geral"/>
    <n v="1"/>
    <s v="F4"/>
    <x v="4"/>
    <s v="Jardim São Bento"/>
    <x v="0"/>
    <s v="C20"/>
    <x v="9"/>
    <s v="Bela Vista"/>
    <s v="P. Bernardes "/>
  </r>
  <r>
    <n v="496"/>
    <x v="11"/>
    <x v="0"/>
    <x v="5"/>
    <s v="P20"/>
    <x v="11"/>
    <s v="Ambos"/>
    <s v="Bermuda  "/>
    <s v="Puma"/>
    <s v="-"/>
    <n v="1"/>
    <s v="F6"/>
    <x v="3"/>
    <s v="Vila Boa Vista"/>
    <x v="2"/>
    <s v="C47"/>
    <x v="10"/>
    <s v="Vila Boa Vista"/>
    <s v="P. Prudente"/>
  </r>
  <r>
    <n v="495"/>
    <x v="12"/>
    <x v="0"/>
    <x v="10"/>
    <s v="P19"/>
    <x v="12"/>
    <s v="Masculino"/>
    <s v="Camisas"/>
    <s v="Puma"/>
    <s v="Corrida e Lazer"/>
    <n v="2"/>
    <s v="F8"/>
    <x v="7"/>
    <s v="Brasil Novo"/>
    <x v="3"/>
    <s v="C32"/>
    <x v="11"/>
    <s v="Matadouro"/>
    <s v="P. Prudente"/>
  </r>
  <r>
    <n v="494"/>
    <x v="13"/>
    <x v="0"/>
    <x v="11"/>
    <s v="P18"/>
    <x v="13"/>
    <s v="Ambos"/>
    <s v="Esporte e Lazer"/>
    <s v="Nike"/>
    <s v="Futebol"/>
    <n v="1"/>
    <s v="F2"/>
    <x v="6"/>
    <s v="Jardim paulista"/>
    <x v="0"/>
    <s v="C47"/>
    <x v="10"/>
    <s v="Vila Boa Vista"/>
    <s v="P. Prudente"/>
  </r>
  <r>
    <n v="493"/>
    <x v="14"/>
    <x v="0"/>
    <x v="12"/>
    <s v="P17"/>
    <x v="14"/>
    <s v="Ambos"/>
    <s v="Esporte"/>
    <s v="NB"/>
    <s v="Academia"/>
    <n v="2"/>
    <s v="F2"/>
    <x v="6"/>
    <s v="Jardim paulista"/>
    <x v="0"/>
    <s v="C27"/>
    <x v="12"/>
    <s v="Centro"/>
    <s v="Alv.Machado"/>
  </r>
  <r>
    <n v="492"/>
    <x v="15"/>
    <x v="0"/>
    <x v="13"/>
    <s v="P16"/>
    <x v="15"/>
    <s v="Masculino"/>
    <s v="Lazer e Casual"/>
    <s v="NB"/>
    <s v="-"/>
    <n v="1"/>
    <s v="F4"/>
    <x v="4"/>
    <s v="Jardim São Bento"/>
    <x v="0"/>
    <s v="C6"/>
    <x v="5"/>
    <s v="Vila Paulista"/>
    <s v="Alv.Machado"/>
  </r>
  <r>
    <n v="491"/>
    <x v="0"/>
    <x v="0"/>
    <x v="14"/>
    <s v="P15"/>
    <x v="16"/>
    <s v="Ambos"/>
    <s v="Casual"/>
    <s v="Nike"/>
    <s v="-"/>
    <n v="1"/>
    <s v="F4"/>
    <x v="4"/>
    <s v="Jardim São Bento"/>
    <x v="0"/>
    <s v="C22"/>
    <x v="13"/>
    <s v="Raio do Sol"/>
    <s v="P. Prudente"/>
  </r>
  <r>
    <n v="490"/>
    <x v="1"/>
    <x v="0"/>
    <x v="15"/>
    <s v="P14"/>
    <x v="17"/>
    <s v="Feminino"/>
    <s v="Casual"/>
    <s v="NB"/>
    <s v="-"/>
    <n v="3"/>
    <s v="F9"/>
    <x v="1"/>
    <s v="Centro"/>
    <x v="1"/>
    <s v="C25"/>
    <x v="14"/>
    <s v="São Lucas"/>
    <s v="P. Bernardes "/>
  </r>
  <r>
    <n v="489"/>
    <x v="2"/>
    <x v="0"/>
    <x v="16"/>
    <s v="P13"/>
    <x v="18"/>
    <s v="Feminino"/>
    <s v="Corrida"/>
    <s v="NB"/>
    <s v="Corrida"/>
    <n v="2"/>
    <s v="F8"/>
    <x v="7"/>
    <s v="Brasil Novo"/>
    <x v="3"/>
    <s v="C41"/>
    <x v="15"/>
    <s v="Jardim Santana"/>
    <s v="P. Prudente"/>
  </r>
  <r>
    <n v="488"/>
    <x v="16"/>
    <x v="0"/>
    <x v="17"/>
    <s v="P12"/>
    <x v="19"/>
    <s v="Ambos"/>
    <s v="Corrida e Lazer"/>
    <s v="Nike"/>
    <s v="Corrida"/>
    <n v="1"/>
    <s v="F1"/>
    <x v="0"/>
    <s v="Jardim São Bento"/>
    <x v="0"/>
    <s v="C20"/>
    <x v="9"/>
    <s v="Bela Vista"/>
    <s v="P. Bernardes "/>
  </r>
  <r>
    <n v="487"/>
    <x v="17"/>
    <x v="0"/>
    <x v="6"/>
    <s v="P11"/>
    <x v="20"/>
    <s v="Masculino"/>
    <s v="Esporte"/>
    <s v="Nike"/>
    <s v="Geral"/>
    <n v="1"/>
    <s v="F7"/>
    <x v="5"/>
    <s v="Cecap"/>
    <x v="0"/>
    <s v="C16"/>
    <x v="3"/>
    <s v="Centro"/>
    <s v="Alv.Machado"/>
  </r>
  <r>
    <n v="486"/>
    <x v="18"/>
    <x v="0"/>
    <x v="18"/>
    <s v="P10"/>
    <x v="21"/>
    <s v="Masculino"/>
    <s v="Esporte e Lazer"/>
    <s v="Nike"/>
    <s v="Geral"/>
    <n v="1"/>
    <s v="F7"/>
    <x v="5"/>
    <s v="Cecap"/>
    <x v="0"/>
    <s v="C22"/>
    <x v="13"/>
    <s v="Raio do Sol"/>
    <s v="P. Prudente"/>
  </r>
  <r>
    <n v="485"/>
    <x v="19"/>
    <x v="0"/>
    <x v="12"/>
    <s v="P9"/>
    <x v="0"/>
    <s v="Ambos"/>
    <s v="Lazer"/>
    <s v="Adidas"/>
    <s v="Geral"/>
    <n v="1"/>
    <s v="F8"/>
    <x v="7"/>
    <s v="Brasil Novo"/>
    <x v="3"/>
    <s v="C11"/>
    <x v="16"/>
    <s v="Bela Vista"/>
    <s v="P. Prudente"/>
  </r>
  <r>
    <n v="484"/>
    <x v="20"/>
    <x v="0"/>
    <x v="19"/>
    <s v="P8"/>
    <x v="1"/>
    <s v="Feminino"/>
    <s v="Esporte"/>
    <s v="Adidas"/>
    <s v="Musculaçao"/>
    <n v="3"/>
    <s v="F9"/>
    <x v="1"/>
    <s v="Centro"/>
    <x v="1"/>
    <s v="C23"/>
    <x v="17"/>
    <s v="Bela Vista"/>
    <s v="Alv.Machado"/>
  </r>
  <r>
    <n v="483"/>
    <x v="21"/>
    <x v="0"/>
    <x v="0"/>
    <s v="P7"/>
    <x v="2"/>
    <s v="Masculino"/>
    <s v="Esporte e Lazer"/>
    <s v="Adidas"/>
    <s v="Corrida"/>
    <n v="3"/>
    <s v="F3"/>
    <x v="2"/>
    <s v="Vila Aurélio"/>
    <x v="1"/>
    <s v="C15"/>
    <x v="0"/>
    <s v="Vila Paulista"/>
    <s v="P. Prudente"/>
  </r>
  <r>
    <n v="482"/>
    <x v="22"/>
    <x v="0"/>
    <x v="8"/>
    <s v="P6"/>
    <x v="3"/>
    <s v="Masculino"/>
    <s v="Esporte e Lazer"/>
    <s v="Nike"/>
    <s v="Geral"/>
    <n v="2"/>
    <s v="F2"/>
    <x v="6"/>
    <s v="Jardim paulista"/>
    <x v="0"/>
    <s v="C31"/>
    <x v="18"/>
    <s v="Bela Vista"/>
    <s v="P. Bernardes "/>
  </r>
  <r>
    <n v="481"/>
    <x v="23"/>
    <x v="0"/>
    <x v="20"/>
    <s v="P5"/>
    <x v="4"/>
    <s v="Ambos"/>
    <s v="Esporte e Lazer"/>
    <s v="Nike"/>
    <s v="Geral"/>
    <n v="2"/>
    <s v="F1"/>
    <x v="0"/>
    <s v="Jardim São Bento"/>
    <x v="0"/>
    <s v="C12"/>
    <x v="19"/>
    <s v="Bela Vista"/>
    <s v="Alv.Machado"/>
  </r>
  <r>
    <n v="480"/>
    <x v="24"/>
    <x v="0"/>
    <x v="21"/>
    <s v="P4"/>
    <x v="5"/>
    <s v="Ambos"/>
    <s v="Corrida e Lazer"/>
    <s v="Nike"/>
    <s v="Geral"/>
    <n v="3"/>
    <s v="F8"/>
    <x v="7"/>
    <s v="Brasil Novo"/>
    <x v="3"/>
    <s v="C16"/>
    <x v="3"/>
    <s v="Centro"/>
    <s v="Alv.Machado"/>
  </r>
  <r>
    <n v="479"/>
    <x v="25"/>
    <x v="0"/>
    <x v="5"/>
    <s v="P3"/>
    <x v="6"/>
    <s v="Ambos"/>
    <s v="Musculaçao"/>
    <s v="Strongbrand"/>
    <s v="Musculaçao"/>
    <n v="2"/>
    <s v="F2"/>
    <x v="6"/>
    <s v="Jardim paulista"/>
    <x v="0"/>
    <s v="C12"/>
    <x v="19"/>
    <s v="Bela Vista"/>
    <s v="Alv.Machado"/>
  </r>
  <r>
    <n v="478"/>
    <x v="26"/>
    <x v="0"/>
    <x v="6"/>
    <s v="P2"/>
    <x v="7"/>
    <s v="Ambos"/>
    <s v="Musculaçao"/>
    <s v="Strongbrand"/>
    <s v="Musculaçao"/>
    <n v="2"/>
    <s v="F8"/>
    <x v="7"/>
    <s v="Brasil Novo"/>
    <x v="3"/>
    <s v="C10"/>
    <x v="20"/>
    <s v="Vila Paulista"/>
    <s v="P. Prudente"/>
  </r>
  <r>
    <n v="477"/>
    <x v="27"/>
    <x v="0"/>
    <x v="17"/>
    <s v="P1"/>
    <x v="8"/>
    <s v="Ambos"/>
    <s v="Musculaçao"/>
    <s v="Strongbrand"/>
    <s v="Musculaçao"/>
    <n v="2"/>
    <s v="F1"/>
    <x v="0"/>
    <s v="Jardim São Bento"/>
    <x v="0"/>
    <s v="C13"/>
    <x v="21"/>
    <s v="Raio do Sol"/>
    <s v="P. Prudente"/>
  </r>
  <r>
    <n v="476"/>
    <x v="28"/>
    <x v="0"/>
    <x v="8"/>
    <s v="P22"/>
    <x v="9"/>
    <s v="Ambos"/>
    <s v="Bicicletas"/>
    <s v="Caloi"/>
    <s v="Geral"/>
    <n v="1"/>
    <s v="F2"/>
    <x v="6"/>
    <s v="Jardim paulista"/>
    <x v="0"/>
    <s v="C3"/>
    <x v="22"/>
    <s v="Raio do Sol"/>
    <s v="P. Prudente"/>
  </r>
  <r>
    <n v="475"/>
    <x v="29"/>
    <x v="0"/>
    <x v="22"/>
    <s v="P21"/>
    <x v="10"/>
    <s v="Ambos"/>
    <s v="Bicicletas"/>
    <s v="Caloi"/>
    <s v="Geral"/>
    <n v="2"/>
    <s v="F3"/>
    <x v="2"/>
    <s v="Vila Aurélio"/>
    <x v="1"/>
    <s v="C7"/>
    <x v="23"/>
    <s v="Matadouro"/>
    <s v="P. Prudente"/>
  </r>
  <r>
    <n v="474"/>
    <x v="13"/>
    <x v="0"/>
    <x v="23"/>
    <s v="P20"/>
    <x v="11"/>
    <s v="Ambos"/>
    <s v="Bermuda  "/>
    <s v="Puma"/>
    <s v="-"/>
    <n v="3"/>
    <s v="F2"/>
    <x v="6"/>
    <s v="Jardim paulista"/>
    <x v="0"/>
    <s v="C49"/>
    <x v="24"/>
    <s v="Vila Aurélio"/>
    <s v="P. Prudente"/>
  </r>
  <r>
    <n v="473"/>
    <x v="14"/>
    <x v="0"/>
    <x v="24"/>
    <s v="P19"/>
    <x v="12"/>
    <s v="Masculino"/>
    <s v="Camisas"/>
    <s v="Puma"/>
    <s v="Corrida e Lazer"/>
    <n v="3"/>
    <s v="F1"/>
    <x v="0"/>
    <s v="Jardim São Bento"/>
    <x v="0"/>
    <s v="C42"/>
    <x v="25"/>
    <s v="Jardim São Bento"/>
    <s v="P. Prudente"/>
  </r>
  <r>
    <n v="472"/>
    <x v="15"/>
    <x v="0"/>
    <x v="11"/>
    <s v="P18"/>
    <x v="13"/>
    <s v="Ambos"/>
    <s v="Esporte e Lazer"/>
    <s v="Nike"/>
    <s v="Futebol"/>
    <n v="1"/>
    <s v="F1"/>
    <x v="0"/>
    <s v="Jardim São Bento"/>
    <x v="0"/>
    <s v="C3"/>
    <x v="22"/>
    <s v="Raio do Sol"/>
    <s v="P. Prudente"/>
  </r>
  <r>
    <n v="471"/>
    <x v="0"/>
    <x v="0"/>
    <x v="12"/>
    <s v="P17"/>
    <x v="14"/>
    <s v="Ambos"/>
    <s v="Esporte"/>
    <s v="NB"/>
    <s v="Academia"/>
    <n v="2"/>
    <s v="F4"/>
    <x v="4"/>
    <s v="Jardim São Bento"/>
    <x v="0"/>
    <s v="C5"/>
    <x v="6"/>
    <s v="Bela Vista"/>
    <s v="P. Prudente"/>
  </r>
  <r>
    <n v="470"/>
    <x v="1"/>
    <x v="0"/>
    <x v="13"/>
    <s v="P16"/>
    <x v="15"/>
    <s v="Masculino"/>
    <s v="Lazer e Casual"/>
    <s v="NB"/>
    <s v="-"/>
    <n v="1"/>
    <s v="F2"/>
    <x v="6"/>
    <s v="Jardim paulista"/>
    <x v="0"/>
    <s v="C47"/>
    <x v="10"/>
    <s v="Vila Boa Vista"/>
    <s v="P. Prudente"/>
  </r>
  <r>
    <n v="469"/>
    <x v="2"/>
    <x v="0"/>
    <x v="14"/>
    <s v="P15"/>
    <x v="16"/>
    <s v="Ambos"/>
    <s v="Casual"/>
    <s v="Nike"/>
    <s v="-"/>
    <n v="1"/>
    <s v="F6"/>
    <x v="3"/>
    <s v="Vila Boa Vista"/>
    <x v="2"/>
    <s v="C45"/>
    <x v="26"/>
    <s v="Vila Aurélio"/>
    <s v="P. Prudente"/>
  </r>
  <r>
    <n v="468"/>
    <x v="16"/>
    <x v="0"/>
    <x v="4"/>
    <s v="P14"/>
    <x v="17"/>
    <s v="Feminino"/>
    <s v="Casual"/>
    <s v="NB"/>
    <s v="-"/>
    <n v="1"/>
    <s v="F9"/>
    <x v="1"/>
    <s v="Centro"/>
    <x v="1"/>
    <s v="C23"/>
    <x v="17"/>
    <s v="Bela Vista"/>
    <s v="Alv.Machado"/>
  </r>
  <r>
    <n v="467"/>
    <x v="17"/>
    <x v="0"/>
    <x v="25"/>
    <s v="P13"/>
    <x v="18"/>
    <s v="Feminino"/>
    <s v="Corrida"/>
    <s v="NB"/>
    <s v="Corrida"/>
    <n v="3"/>
    <s v="F6"/>
    <x v="3"/>
    <s v="Vila Boa Vista"/>
    <x v="2"/>
    <s v="C37"/>
    <x v="27"/>
    <s v="Cecap"/>
    <s v="P. Prudente"/>
  </r>
  <r>
    <n v="466"/>
    <x v="18"/>
    <x v="0"/>
    <x v="10"/>
    <s v="P12"/>
    <x v="19"/>
    <s v="Ambos"/>
    <s v="Corrida e Lazer"/>
    <s v="Nike"/>
    <s v="Corrida"/>
    <n v="2"/>
    <s v="F9"/>
    <x v="1"/>
    <s v="Centro"/>
    <x v="1"/>
    <s v="C14"/>
    <x v="28"/>
    <s v="São Lucas"/>
    <s v="P. Bernardes "/>
  </r>
  <r>
    <n v="465"/>
    <x v="19"/>
    <x v="0"/>
    <x v="26"/>
    <s v="P11"/>
    <x v="20"/>
    <s v="Masculino"/>
    <s v="Esporte"/>
    <s v="Nike"/>
    <s v="Geral"/>
    <n v="2"/>
    <s v="F1"/>
    <x v="0"/>
    <s v="Jardim São Bento"/>
    <x v="0"/>
    <s v="C28"/>
    <x v="29"/>
    <s v="Raio do Sol"/>
    <s v="Martinopolis"/>
  </r>
  <r>
    <n v="464"/>
    <x v="20"/>
    <x v="0"/>
    <x v="27"/>
    <s v="P10"/>
    <x v="21"/>
    <s v="Masculino"/>
    <s v="Esporte e Lazer"/>
    <s v="Nike"/>
    <s v="Geral"/>
    <n v="2"/>
    <s v="F9"/>
    <x v="1"/>
    <s v="Centro"/>
    <x v="1"/>
    <s v="C12"/>
    <x v="19"/>
    <s v="Bela Vista"/>
    <s v="Alv.Machado"/>
  </r>
  <r>
    <n v="463"/>
    <x v="21"/>
    <x v="0"/>
    <x v="0"/>
    <s v="P9"/>
    <x v="0"/>
    <s v="Ambos"/>
    <s v="Lazer"/>
    <s v="Adidas"/>
    <s v="Geral"/>
    <n v="2"/>
    <s v="F3"/>
    <x v="2"/>
    <s v="Vila Aurélio"/>
    <x v="1"/>
    <s v="C29"/>
    <x v="1"/>
    <s v="Centro"/>
    <s v="Alv.Machado"/>
  </r>
  <r>
    <n v="462"/>
    <x v="22"/>
    <x v="0"/>
    <x v="28"/>
    <s v="P8"/>
    <x v="1"/>
    <s v="Feminino"/>
    <s v="Esporte"/>
    <s v="Adidas"/>
    <s v="Musculaçao"/>
    <n v="1"/>
    <s v="F5"/>
    <x v="8"/>
    <s v="Ana jacinta"/>
    <x v="0"/>
    <s v="C32"/>
    <x v="11"/>
    <s v="Matadouro"/>
    <s v="P. Prudente"/>
  </r>
  <r>
    <n v="461"/>
    <x v="23"/>
    <x v="0"/>
    <x v="2"/>
    <s v="P7"/>
    <x v="2"/>
    <s v="Masculino"/>
    <s v="Esporte e Lazer"/>
    <s v="Adidas"/>
    <s v="Corrida"/>
    <n v="1"/>
    <s v="F4"/>
    <x v="4"/>
    <s v="Jardim São Bento"/>
    <x v="0"/>
    <s v="C16"/>
    <x v="3"/>
    <s v="Centro"/>
    <s v="Alv.Machado"/>
  </r>
  <r>
    <n v="460"/>
    <x v="24"/>
    <x v="0"/>
    <x v="3"/>
    <s v="P6"/>
    <x v="3"/>
    <s v="Masculino"/>
    <s v="Esporte e Lazer"/>
    <s v="Nike"/>
    <s v="Geral"/>
    <n v="3"/>
    <s v="F5"/>
    <x v="8"/>
    <s v="Ana jacinta"/>
    <x v="0"/>
    <s v="C22"/>
    <x v="13"/>
    <s v="Raio do Sol"/>
    <s v="P. Prudente"/>
  </r>
  <r>
    <n v="459"/>
    <x v="25"/>
    <x v="0"/>
    <x v="20"/>
    <s v="P5"/>
    <x v="4"/>
    <s v="Ambos"/>
    <s v="Esporte e Lazer"/>
    <s v="Nike"/>
    <s v="Geral"/>
    <n v="2"/>
    <s v="F5"/>
    <x v="8"/>
    <s v="Ana jacinta"/>
    <x v="0"/>
    <s v="C44"/>
    <x v="30"/>
    <s v="Vila Áurea"/>
    <s v="P. Prudente"/>
  </r>
  <r>
    <n v="458"/>
    <x v="26"/>
    <x v="0"/>
    <x v="21"/>
    <s v="P4"/>
    <x v="5"/>
    <s v="Ambos"/>
    <s v="Corrida e Lazer"/>
    <s v="Nike"/>
    <s v="Geral"/>
    <n v="3"/>
    <s v="F9"/>
    <x v="1"/>
    <s v="Centro"/>
    <x v="1"/>
    <s v="C50"/>
    <x v="2"/>
    <s v="Matadouro"/>
    <s v="Alv.Machado"/>
  </r>
  <r>
    <n v="457"/>
    <x v="27"/>
    <x v="0"/>
    <x v="29"/>
    <s v="P3"/>
    <x v="6"/>
    <s v="Ambos"/>
    <s v="Musculaçao"/>
    <s v="Strongbrand"/>
    <s v="Musculaçao"/>
    <n v="1"/>
    <s v="F4"/>
    <x v="4"/>
    <s v="Jardim São Bento"/>
    <x v="0"/>
    <s v="C24"/>
    <x v="8"/>
    <s v="São José"/>
    <s v="P. Prudente"/>
  </r>
  <r>
    <n v="456"/>
    <x v="28"/>
    <x v="0"/>
    <x v="30"/>
    <s v="P2"/>
    <x v="7"/>
    <s v="Ambos"/>
    <s v="Musculaçao"/>
    <s v="Strongbrand"/>
    <s v="Musculaçao"/>
    <n v="1"/>
    <s v="F9"/>
    <x v="1"/>
    <s v="Centro"/>
    <x v="1"/>
    <s v="C23"/>
    <x v="17"/>
    <s v="Bela Vista"/>
    <s v="Alv.Machado"/>
  </r>
  <r>
    <n v="455"/>
    <x v="29"/>
    <x v="0"/>
    <x v="31"/>
    <s v="P1"/>
    <x v="8"/>
    <s v="Ambos"/>
    <s v="Musculaçao"/>
    <s v="Strongbrand"/>
    <s v="Musculaçao"/>
    <n v="3"/>
    <s v="F4"/>
    <x v="4"/>
    <s v="Jardim São Bento"/>
    <x v="0"/>
    <s v="C23"/>
    <x v="17"/>
    <s v="Bela Vista"/>
    <s v="Alv.Machado"/>
  </r>
  <r>
    <n v="454"/>
    <x v="30"/>
    <x v="1"/>
    <x v="32"/>
    <s v="P22"/>
    <x v="9"/>
    <s v="Ambos"/>
    <s v="Bicicletas"/>
    <s v="Caloi"/>
    <s v="Geral"/>
    <n v="3"/>
    <s v="F9"/>
    <x v="1"/>
    <s v="Centro"/>
    <x v="1"/>
    <s v="C47"/>
    <x v="10"/>
    <s v="Vila Boa Vista"/>
    <s v="P. Prudente"/>
  </r>
  <r>
    <n v="453"/>
    <x v="31"/>
    <x v="1"/>
    <x v="22"/>
    <s v="P21"/>
    <x v="10"/>
    <s v="Ambos"/>
    <s v="Bicicletas"/>
    <s v="Caloi"/>
    <s v="Geral"/>
    <n v="2"/>
    <s v="F7"/>
    <x v="5"/>
    <s v="Cecap"/>
    <x v="0"/>
    <s v="C20"/>
    <x v="9"/>
    <s v="Bela Vista"/>
    <s v="P. Bernardes "/>
  </r>
  <r>
    <n v="452"/>
    <x v="32"/>
    <x v="1"/>
    <x v="23"/>
    <s v="P20"/>
    <x v="11"/>
    <s v="Ambos"/>
    <s v="Bermuda  "/>
    <s v="Puma"/>
    <s v="-"/>
    <n v="3"/>
    <s v="F2"/>
    <x v="6"/>
    <s v="Jardim paulista"/>
    <x v="0"/>
    <s v="C15"/>
    <x v="0"/>
    <s v="Vila Paulista"/>
    <s v="P. Prudente"/>
  </r>
  <r>
    <n v="451"/>
    <x v="33"/>
    <x v="1"/>
    <x v="24"/>
    <s v="P19"/>
    <x v="12"/>
    <s v="Masculino"/>
    <s v="Camisas"/>
    <s v="Puma"/>
    <s v="Corrida e Lazer"/>
    <n v="3"/>
    <s v="F6"/>
    <x v="3"/>
    <s v="Vila Boa Vista"/>
    <x v="2"/>
    <s v="C45"/>
    <x v="26"/>
    <s v="Vila Aurélio"/>
    <s v="P. Prudente"/>
  </r>
  <r>
    <n v="450"/>
    <x v="34"/>
    <x v="1"/>
    <x v="33"/>
    <s v="P18"/>
    <x v="13"/>
    <s v="Ambos"/>
    <s v="Esporte e Lazer"/>
    <s v="Nike"/>
    <s v="Futebol"/>
    <n v="2"/>
    <s v="F6"/>
    <x v="3"/>
    <s v="Vila Boa Vista"/>
    <x v="2"/>
    <s v="C22"/>
    <x v="13"/>
    <s v="Raio do Sol"/>
    <s v="P. Prudente"/>
  </r>
  <r>
    <n v="449"/>
    <x v="35"/>
    <x v="1"/>
    <x v="12"/>
    <s v="P17"/>
    <x v="14"/>
    <s v="Ambos"/>
    <s v="Esporte"/>
    <s v="NB"/>
    <s v="Academia"/>
    <n v="2"/>
    <s v="F5"/>
    <x v="8"/>
    <s v="Ana jacinta"/>
    <x v="0"/>
    <s v="C24"/>
    <x v="8"/>
    <s v="São José"/>
    <s v="P. Prudente"/>
  </r>
  <r>
    <n v="448"/>
    <x v="36"/>
    <x v="1"/>
    <x v="13"/>
    <s v="P16"/>
    <x v="15"/>
    <s v="Masculino"/>
    <s v="Lazer e Casual"/>
    <s v="NB"/>
    <s v="-"/>
    <n v="1"/>
    <s v="F5"/>
    <x v="8"/>
    <s v="Ana jacinta"/>
    <x v="0"/>
    <s v="C46"/>
    <x v="31"/>
    <s v="Vila Barbeiro"/>
    <s v="P. Prudente"/>
  </r>
  <r>
    <n v="447"/>
    <x v="37"/>
    <x v="1"/>
    <x v="34"/>
    <s v="P15"/>
    <x v="16"/>
    <s v="Ambos"/>
    <s v="Casual"/>
    <s v="Nike"/>
    <s v="-"/>
    <n v="3"/>
    <s v="F2"/>
    <x v="6"/>
    <s v="Jardim paulista"/>
    <x v="0"/>
    <s v="C9"/>
    <x v="32"/>
    <s v="São Lucas"/>
    <s v="P. Bernardes "/>
  </r>
  <r>
    <n v="446"/>
    <x v="38"/>
    <x v="1"/>
    <x v="35"/>
    <s v="P14"/>
    <x v="17"/>
    <s v="Feminino"/>
    <s v="Casual"/>
    <s v="NB"/>
    <s v="-"/>
    <n v="2"/>
    <s v="F9"/>
    <x v="1"/>
    <s v="Centro"/>
    <x v="1"/>
    <s v="C19"/>
    <x v="33"/>
    <s v="São José"/>
    <s v="P. Prudente"/>
  </r>
  <r>
    <n v="445"/>
    <x v="39"/>
    <x v="1"/>
    <x v="25"/>
    <s v="P13"/>
    <x v="18"/>
    <s v="Feminino"/>
    <s v="Corrida"/>
    <s v="NB"/>
    <s v="Corrida"/>
    <n v="3"/>
    <s v="F3"/>
    <x v="2"/>
    <s v="Vila Aurélio"/>
    <x v="1"/>
    <s v="C47"/>
    <x v="10"/>
    <s v="Vila Boa Vista"/>
    <s v="P. Prudente"/>
  </r>
  <r>
    <n v="444"/>
    <x v="40"/>
    <x v="1"/>
    <x v="24"/>
    <s v="P12"/>
    <x v="19"/>
    <s v="Ambos"/>
    <s v="Corrida e Lazer"/>
    <s v="Nike"/>
    <s v="Corrida"/>
    <n v="3"/>
    <s v="F7"/>
    <x v="5"/>
    <s v="Cecap"/>
    <x v="0"/>
    <s v="C14"/>
    <x v="28"/>
    <s v="São Lucas"/>
    <s v="P. Bernardes "/>
  </r>
  <r>
    <n v="443"/>
    <x v="41"/>
    <x v="1"/>
    <x v="6"/>
    <s v="P11"/>
    <x v="20"/>
    <s v="Masculino"/>
    <s v="Esporte"/>
    <s v="Nike"/>
    <s v="Geral"/>
    <n v="1"/>
    <s v="F6"/>
    <x v="3"/>
    <s v="Vila Boa Vista"/>
    <x v="2"/>
    <s v="C35"/>
    <x v="34"/>
    <s v="Bosque Itaju"/>
    <s v="P. Prudente"/>
  </r>
  <r>
    <n v="442"/>
    <x v="42"/>
    <x v="1"/>
    <x v="27"/>
    <s v="P10"/>
    <x v="21"/>
    <s v="Masculino"/>
    <s v="Esporte e Lazer"/>
    <s v="Nike"/>
    <s v="Geral"/>
    <n v="2"/>
    <s v="F6"/>
    <x v="3"/>
    <s v="Vila Boa Vista"/>
    <x v="2"/>
    <s v="C30"/>
    <x v="35"/>
    <s v="São José"/>
    <s v="P. Prudente"/>
  </r>
  <r>
    <n v="441"/>
    <x v="43"/>
    <x v="1"/>
    <x v="0"/>
    <s v="P9"/>
    <x v="0"/>
    <s v="Ambos"/>
    <s v="Lazer"/>
    <s v="Adidas"/>
    <s v="Geral"/>
    <n v="2"/>
    <s v="F8"/>
    <x v="7"/>
    <s v="Brasil Novo"/>
    <x v="3"/>
    <s v="C5"/>
    <x v="6"/>
    <s v="Bela Vista"/>
    <s v="P. Prudente"/>
  </r>
  <r>
    <n v="440"/>
    <x v="44"/>
    <x v="1"/>
    <x v="19"/>
    <s v="P8"/>
    <x v="1"/>
    <s v="Feminino"/>
    <s v="Esporte"/>
    <s v="Adidas"/>
    <s v="Musculaçao"/>
    <n v="3"/>
    <s v="F8"/>
    <x v="7"/>
    <s v="Brasil Novo"/>
    <x v="3"/>
    <s v="C42"/>
    <x v="25"/>
    <s v="Jardim São Bento"/>
    <s v="P. Prudente"/>
  </r>
  <r>
    <n v="439"/>
    <x v="45"/>
    <x v="1"/>
    <x v="20"/>
    <s v="P7"/>
    <x v="2"/>
    <s v="Masculino"/>
    <s v="Esporte e Lazer"/>
    <s v="Adidas"/>
    <s v="Corrida"/>
    <n v="2"/>
    <s v="F6"/>
    <x v="3"/>
    <s v="Vila Boa Vista"/>
    <x v="2"/>
    <s v="C33"/>
    <x v="36"/>
    <s v="Jardim Santa Clara"/>
    <s v="P. Prudente"/>
  </r>
  <r>
    <n v="438"/>
    <x v="46"/>
    <x v="1"/>
    <x v="8"/>
    <s v="P6"/>
    <x v="3"/>
    <s v="Masculino"/>
    <s v="Esporte e Lazer"/>
    <s v="Nike"/>
    <s v="Geral"/>
    <n v="2"/>
    <s v="F3"/>
    <x v="2"/>
    <s v="Vila Aurélio"/>
    <x v="1"/>
    <s v="C40"/>
    <x v="37"/>
    <s v="Jardim Santa Paula"/>
    <s v="P. Prudente"/>
  </r>
  <r>
    <n v="437"/>
    <x v="47"/>
    <x v="1"/>
    <x v="0"/>
    <s v="P5"/>
    <x v="4"/>
    <s v="Ambos"/>
    <s v="Esporte e Lazer"/>
    <s v="Nike"/>
    <s v="Geral"/>
    <n v="3"/>
    <s v="F1"/>
    <x v="0"/>
    <s v="Jardim São Bento"/>
    <x v="0"/>
    <s v="C36"/>
    <x v="38"/>
    <s v="Brasil Novo"/>
    <s v="P. Bernades"/>
  </r>
  <r>
    <n v="436"/>
    <x v="48"/>
    <x v="1"/>
    <x v="36"/>
    <s v="P4"/>
    <x v="5"/>
    <s v="Ambos"/>
    <s v="Corrida e Lazer"/>
    <s v="Nike"/>
    <s v="Geral"/>
    <n v="1"/>
    <s v="F5"/>
    <x v="8"/>
    <s v="Ana jacinta"/>
    <x v="0"/>
    <s v="C32"/>
    <x v="11"/>
    <s v="Matadouro"/>
    <s v="P. Prudente"/>
  </r>
  <r>
    <n v="435"/>
    <x v="49"/>
    <x v="1"/>
    <x v="10"/>
    <s v="P3"/>
    <x v="6"/>
    <s v="Ambos"/>
    <s v="Musculaçao"/>
    <s v="Strongbrand"/>
    <s v="Musculaçao"/>
    <n v="3"/>
    <s v="F3"/>
    <x v="2"/>
    <s v="Vila Aurélio"/>
    <x v="1"/>
    <s v="C6"/>
    <x v="5"/>
    <s v="Vila Paulista"/>
    <s v="Alv.Machado"/>
  </r>
  <r>
    <n v="434"/>
    <x v="50"/>
    <x v="1"/>
    <x v="37"/>
    <s v="P2"/>
    <x v="7"/>
    <s v="Ambos"/>
    <s v="Musculaçao"/>
    <s v="Strongbrand"/>
    <s v="Musculaçao"/>
    <n v="3"/>
    <s v="F4"/>
    <x v="4"/>
    <s v="Jardim São Bento"/>
    <x v="0"/>
    <s v="C8"/>
    <x v="39"/>
    <s v="Centro"/>
    <s v="Martinopolis"/>
  </r>
  <r>
    <n v="433"/>
    <x v="51"/>
    <x v="1"/>
    <x v="31"/>
    <s v="P1"/>
    <x v="8"/>
    <s v="Ambos"/>
    <s v="Musculaçao"/>
    <s v="Strongbrand"/>
    <s v="Musculaçao"/>
    <n v="3"/>
    <s v="F8"/>
    <x v="7"/>
    <s v="Brasil Novo"/>
    <x v="3"/>
    <s v="C48"/>
    <x v="40"/>
    <s v="Vila Boa Vista"/>
    <s v="P. Prudente"/>
  </r>
  <r>
    <n v="432"/>
    <x v="52"/>
    <x v="1"/>
    <x v="38"/>
    <s v="P22"/>
    <x v="9"/>
    <s v="Ambos"/>
    <s v="Bicicletas"/>
    <s v="Caloi"/>
    <s v="Geral"/>
    <n v="2"/>
    <s v="F2"/>
    <x v="6"/>
    <s v="Jardim paulista"/>
    <x v="0"/>
    <s v="C18"/>
    <x v="41"/>
    <s v="Centro"/>
    <s v="Alv.Machado"/>
  </r>
  <r>
    <n v="431"/>
    <x v="53"/>
    <x v="1"/>
    <x v="22"/>
    <s v="P21"/>
    <x v="10"/>
    <s v="Ambos"/>
    <s v="Bicicletas"/>
    <s v="Caloi"/>
    <s v="Geral"/>
    <n v="2"/>
    <s v="F8"/>
    <x v="7"/>
    <s v="Brasil Novo"/>
    <x v="3"/>
    <s v="C20"/>
    <x v="9"/>
    <s v="Bela Vista"/>
    <s v="P. Bernardes "/>
  </r>
  <r>
    <n v="430"/>
    <x v="54"/>
    <x v="1"/>
    <x v="39"/>
    <s v="P20"/>
    <x v="11"/>
    <s v="Ambos"/>
    <s v="Bermuda  "/>
    <s v="Puma"/>
    <s v="-"/>
    <n v="2"/>
    <s v="F1"/>
    <x v="0"/>
    <s v="Jardim São Bento"/>
    <x v="0"/>
    <s v="C15"/>
    <x v="0"/>
    <s v="Vila Paulista"/>
    <s v="P. Prudente"/>
  </r>
  <r>
    <n v="429"/>
    <x v="55"/>
    <x v="1"/>
    <x v="17"/>
    <s v="P19"/>
    <x v="12"/>
    <s v="Masculino"/>
    <s v="Camisas"/>
    <s v="Puma"/>
    <s v="Corrida e Lazer"/>
    <n v="1"/>
    <s v="F3"/>
    <x v="2"/>
    <s v="Vila Aurélio"/>
    <x v="1"/>
    <s v="C25"/>
    <x v="14"/>
    <s v="São Lucas"/>
    <s v="P. Bernardes "/>
  </r>
  <r>
    <n v="428"/>
    <x v="56"/>
    <x v="1"/>
    <x v="40"/>
    <s v="P18"/>
    <x v="13"/>
    <s v="Ambos"/>
    <s v="Esporte e Lazer"/>
    <s v="Nike"/>
    <s v="Futebol"/>
    <n v="3"/>
    <s v="F9"/>
    <x v="1"/>
    <s v="Centro"/>
    <x v="1"/>
    <s v="C23"/>
    <x v="17"/>
    <s v="Bela Vista"/>
    <s v="Alv.Machado"/>
  </r>
  <r>
    <n v="427"/>
    <x v="40"/>
    <x v="1"/>
    <x v="40"/>
    <s v="P17"/>
    <x v="14"/>
    <s v="Ambos"/>
    <s v="Esporte"/>
    <s v="NB"/>
    <s v="Academia"/>
    <n v="1"/>
    <s v="F1"/>
    <x v="0"/>
    <s v="Jardim São Bento"/>
    <x v="0"/>
    <s v="C26"/>
    <x v="42"/>
    <s v="Matadouro"/>
    <s v="P. Prudente"/>
  </r>
  <r>
    <n v="426"/>
    <x v="41"/>
    <x v="1"/>
    <x v="41"/>
    <s v="P16"/>
    <x v="15"/>
    <s v="Masculino"/>
    <s v="Lazer e Casual"/>
    <s v="NB"/>
    <s v="-"/>
    <n v="2"/>
    <s v="F4"/>
    <x v="4"/>
    <s v="Jardim São Bento"/>
    <x v="0"/>
    <s v="C15"/>
    <x v="0"/>
    <s v="Vila Paulista"/>
    <s v="P. Prudente"/>
  </r>
  <r>
    <n v="425"/>
    <x v="42"/>
    <x v="1"/>
    <x v="14"/>
    <s v="P15"/>
    <x v="16"/>
    <s v="Ambos"/>
    <s v="Casual"/>
    <s v="Nike"/>
    <s v="-"/>
    <n v="1"/>
    <s v="F7"/>
    <x v="5"/>
    <s v="Cecap"/>
    <x v="0"/>
    <s v="C48"/>
    <x v="40"/>
    <s v="Vila Boa Vista"/>
    <s v="P. Prudente"/>
  </r>
  <r>
    <n v="424"/>
    <x v="43"/>
    <x v="1"/>
    <x v="35"/>
    <s v="P14"/>
    <x v="17"/>
    <s v="Feminino"/>
    <s v="Casual"/>
    <s v="NB"/>
    <s v="-"/>
    <n v="2"/>
    <s v="F8"/>
    <x v="7"/>
    <s v="Brasil Novo"/>
    <x v="3"/>
    <s v="C15"/>
    <x v="0"/>
    <s v="Vila Paulista"/>
    <s v="P. Prudente"/>
  </r>
  <r>
    <n v="423"/>
    <x v="44"/>
    <x v="1"/>
    <x v="42"/>
    <s v="P13"/>
    <x v="18"/>
    <s v="Feminino"/>
    <s v="Corrida"/>
    <s v="NB"/>
    <s v="Corrida"/>
    <n v="1"/>
    <s v="F4"/>
    <x v="4"/>
    <s v="Jardim São Bento"/>
    <x v="0"/>
    <s v="C7"/>
    <x v="23"/>
    <s v="Matadouro"/>
    <s v="P. Prudente"/>
  </r>
  <r>
    <n v="422"/>
    <x v="45"/>
    <x v="1"/>
    <x v="10"/>
    <s v="P12"/>
    <x v="19"/>
    <s v="Ambos"/>
    <s v="Corrida e Lazer"/>
    <s v="Nike"/>
    <s v="Corrida"/>
    <n v="2"/>
    <s v="F9"/>
    <x v="1"/>
    <s v="Centro"/>
    <x v="1"/>
    <s v="C5"/>
    <x v="6"/>
    <s v="Bela Vista"/>
    <s v="P. Prudente"/>
  </r>
  <r>
    <n v="421"/>
    <x v="46"/>
    <x v="1"/>
    <x v="26"/>
    <s v="P11"/>
    <x v="20"/>
    <s v="Masculino"/>
    <s v="Esporte"/>
    <s v="Nike"/>
    <s v="Geral"/>
    <n v="2"/>
    <s v="F3"/>
    <x v="2"/>
    <s v="Vila Aurélio"/>
    <x v="1"/>
    <s v="C1"/>
    <x v="43"/>
    <s v="Centro"/>
    <s v="Alv. Machado"/>
  </r>
  <r>
    <n v="420"/>
    <x v="47"/>
    <x v="1"/>
    <x v="18"/>
    <s v="P10"/>
    <x v="21"/>
    <s v="Masculino"/>
    <s v="Esporte e Lazer"/>
    <s v="Nike"/>
    <s v="Geral"/>
    <n v="1"/>
    <s v="F5"/>
    <x v="8"/>
    <s v="Ana jacinta"/>
    <x v="0"/>
    <s v="C34"/>
    <x v="44"/>
    <s v="Jardim Santa Elisa"/>
    <s v="P. Prudente"/>
  </r>
  <r>
    <n v="419"/>
    <x v="48"/>
    <x v="1"/>
    <x v="0"/>
    <s v="P9"/>
    <x v="0"/>
    <s v="Ambos"/>
    <s v="Lazer"/>
    <s v="Adidas"/>
    <s v="Geral"/>
    <n v="2"/>
    <s v="F5"/>
    <x v="8"/>
    <s v="Ana jacinta"/>
    <x v="0"/>
    <s v="C2"/>
    <x v="45"/>
    <s v="São José"/>
    <s v="P. Prudente"/>
  </r>
  <r>
    <n v="418"/>
    <x v="49"/>
    <x v="1"/>
    <x v="1"/>
    <s v="P8"/>
    <x v="1"/>
    <s v="Feminino"/>
    <s v="Esporte"/>
    <s v="Adidas"/>
    <s v="Musculaçao"/>
    <n v="2"/>
    <s v="F5"/>
    <x v="8"/>
    <s v="Ana jacinta"/>
    <x v="0"/>
    <s v="C29"/>
    <x v="1"/>
    <s v="Centro"/>
    <s v="Alv.Machado"/>
  </r>
  <r>
    <n v="417"/>
    <x v="50"/>
    <x v="1"/>
    <x v="2"/>
    <s v="P7"/>
    <x v="2"/>
    <s v="Masculino"/>
    <s v="Esporte e Lazer"/>
    <s v="Adidas"/>
    <s v="Corrida"/>
    <n v="1"/>
    <s v="F8"/>
    <x v="7"/>
    <s v="Brasil Novo"/>
    <x v="3"/>
    <s v="C38"/>
    <x v="4"/>
    <s v="Centro"/>
    <s v="P. Prudente"/>
  </r>
  <r>
    <n v="416"/>
    <x v="51"/>
    <x v="1"/>
    <x v="8"/>
    <s v="P6"/>
    <x v="3"/>
    <s v="Masculino"/>
    <s v="Esporte e Lazer"/>
    <s v="Nike"/>
    <s v="Geral"/>
    <n v="2"/>
    <s v="F3"/>
    <x v="2"/>
    <s v="Vila Aurélio"/>
    <x v="1"/>
    <s v="C41"/>
    <x v="15"/>
    <s v="Jardim Santana"/>
    <s v="P. Prudente"/>
  </r>
  <r>
    <n v="415"/>
    <x v="52"/>
    <x v="1"/>
    <x v="0"/>
    <s v="P5"/>
    <x v="4"/>
    <s v="Ambos"/>
    <s v="Esporte e Lazer"/>
    <s v="Nike"/>
    <s v="Geral"/>
    <n v="3"/>
    <s v="F1"/>
    <x v="0"/>
    <s v="Jardim São Bento"/>
    <x v="0"/>
    <s v="C30"/>
    <x v="35"/>
    <s v="São José"/>
    <s v="P. Prudente"/>
  </r>
  <r>
    <n v="414"/>
    <x v="53"/>
    <x v="1"/>
    <x v="4"/>
    <s v="P4"/>
    <x v="5"/>
    <s v="Ambos"/>
    <s v="Corrida e Lazer"/>
    <s v="Nike"/>
    <s v="Geral"/>
    <n v="2"/>
    <s v="F7"/>
    <x v="5"/>
    <s v="Cecap"/>
    <x v="0"/>
    <s v="C9"/>
    <x v="32"/>
    <s v="São Lucas"/>
    <s v="P. Bernardes "/>
  </r>
  <r>
    <n v="413"/>
    <x v="54"/>
    <x v="1"/>
    <x v="5"/>
    <s v="P3"/>
    <x v="6"/>
    <s v="Ambos"/>
    <s v="Musculaçao"/>
    <s v="Strongbrand"/>
    <s v="Musculaçao"/>
    <n v="2"/>
    <s v="F5"/>
    <x v="8"/>
    <s v="Ana jacinta"/>
    <x v="0"/>
    <s v="C26"/>
    <x v="42"/>
    <s v="Matadouro"/>
    <s v="P. Prudente"/>
  </r>
  <r>
    <n v="412"/>
    <x v="55"/>
    <x v="1"/>
    <x v="30"/>
    <s v="P2"/>
    <x v="7"/>
    <s v="Ambos"/>
    <s v="Musculaçao"/>
    <s v="Strongbrand"/>
    <s v="Musculaçao"/>
    <n v="1"/>
    <s v="F2"/>
    <x v="6"/>
    <s v="Jardim paulista"/>
    <x v="0"/>
    <s v="C40"/>
    <x v="37"/>
    <s v="Jardim Santa Paula"/>
    <s v="P. Prudente"/>
  </r>
  <r>
    <n v="411"/>
    <x v="56"/>
    <x v="1"/>
    <x v="7"/>
    <s v="P1"/>
    <x v="8"/>
    <s v="Ambos"/>
    <s v="Musculaçao"/>
    <s v="Strongbrand"/>
    <s v="Musculaçao"/>
    <n v="1"/>
    <s v="F9"/>
    <x v="1"/>
    <s v="Centro"/>
    <x v="1"/>
    <s v="C14"/>
    <x v="28"/>
    <s v="São Lucas"/>
    <s v="P. Bernardes "/>
  </r>
  <r>
    <n v="410"/>
    <x v="57"/>
    <x v="2"/>
    <x v="11"/>
    <s v="P18"/>
    <x v="13"/>
    <s v="Ambos"/>
    <s v="Esporte e Lazer"/>
    <s v="Nike"/>
    <s v="Futebol"/>
    <n v="1"/>
    <s v="F5"/>
    <x v="8"/>
    <s v="Ana jacinta"/>
    <x v="0"/>
    <s v="C50"/>
    <x v="2"/>
    <s v="Matadouro"/>
    <s v="Alv.Machado"/>
  </r>
  <r>
    <n v="409"/>
    <x v="58"/>
    <x v="2"/>
    <x v="42"/>
    <s v="P17"/>
    <x v="14"/>
    <s v="Ambos"/>
    <s v="Esporte"/>
    <s v="NB"/>
    <s v="Academia"/>
    <n v="3"/>
    <s v="F9"/>
    <x v="1"/>
    <s v="Centro"/>
    <x v="1"/>
    <s v="C5"/>
    <x v="6"/>
    <s v="Bela Vista"/>
    <s v="P. Prudente"/>
  </r>
  <r>
    <n v="408"/>
    <x v="59"/>
    <x v="2"/>
    <x v="13"/>
    <s v="P16"/>
    <x v="15"/>
    <s v="Masculino"/>
    <s v="Lazer e Casual"/>
    <s v="NB"/>
    <s v="-"/>
    <n v="1"/>
    <s v="F4"/>
    <x v="4"/>
    <s v="Jardim São Bento"/>
    <x v="0"/>
    <s v="C4"/>
    <x v="46"/>
    <s v="Centro"/>
    <s v="P. Bernardes "/>
  </r>
  <r>
    <n v="407"/>
    <x v="60"/>
    <x v="2"/>
    <x v="14"/>
    <s v="P15"/>
    <x v="16"/>
    <s v="Ambos"/>
    <s v="Casual"/>
    <s v="Nike"/>
    <s v="-"/>
    <n v="1"/>
    <s v="F6"/>
    <x v="3"/>
    <s v="Vila Boa Vista"/>
    <x v="2"/>
    <s v="C28"/>
    <x v="29"/>
    <s v="Raio do Sol"/>
    <s v="Martinopolis"/>
  </r>
  <r>
    <n v="406"/>
    <x v="61"/>
    <x v="2"/>
    <x v="35"/>
    <s v="P14"/>
    <x v="17"/>
    <s v="Feminino"/>
    <s v="Casual"/>
    <s v="NB"/>
    <s v="-"/>
    <n v="2"/>
    <s v="F1"/>
    <x v="0"/>
    <s v="Jardim São Bento"/>
    <x v="0"/>
    <s v="C27"/>
    <x v="12"/>
    <s v="Centro"/>
    <s v="Alv.Machado"/>
  </r>
  <r>
    <n v="405"/>
    <x v="62"/>
    <x v="2"/>
    <x v="16"/>
    <s v="P13"/>
    <x v="18"/>
    <s v="Feminino"/>
    <s v="Corrida"/>
    <s v="NB"/>
    <s v="Corrida"/>
    <n v="2"/>
    <s v="F1"/>
    <x v="0"/>
    <s v="Jardim São Bento"/>
    <x v="0"/>
    <s v="C34"/>
    <x v="44"/>
    <s v="Jardim Santa Elisa"/>
    <s v="P. Prudente"/>
  </r>
  <r>
    <n v="404"/>
    <x v="63"/>
    <x v="2"/>
    <x v="17"/>
    <s v="P12"/>
    <x v="19"/>
    <s v="Ambos"/>
    <s v="Corrida e Lazer"/>
    <s v="Nike"/>
    <s v="Corrida"/>
    <n v="1"/>
    <s v="F9"/>
    <x v="1"/>
    <s v="Centro"/>
    <x v="1"/>
    <s v="C37"/>
    <x v="27"/>
    <s v="Cecap"/>
    <s v="P. Prudente"/>
  </r>
  <r>
    <n v="403"/>
    <x v="64"/>
    <x v="2"/>
    <x v="43"/>
    <s v="P11"/>
    <x v="20"/>
    <s v="Masculino"/>
    <s v="Esporte"/>
    <s v="Nike"/>
    <s v="Geral"/>
    <n v="3"/>
    <s v="F8"/>
    <x v="7"/>
    <s v="Brasil Novo"/>
    <x v="3"/>
    <s v="C16"/>
    <x v="3"/>
    <s v="Centro"/>
    <s v="Alv.Machado"/>
  </r>
  <r>
    <n v="402"/>
    <x v="65"/>
    <x v="2"/>
    <x v="44"/>
    <s v="P10"/>
    <x v="21"/>
    <s v="Masculino"/>
    <s v="Esporte e Lazer"/>
    <s v="Nike"/>
    <s v="Geral"/>
    <n v="3"/>
    <s v="F2"/>
    <x v="6"/>
    <s v="Jardim paulista"/>
    <x v="0"/>
    <s v="C15"/>
    <x v="0"/>
    <s v="Vila Paulista"/>
    <s v="P. Prudente"/>
  </r>
  <r>
    <n v="401"/>
    <x v="66"/>
    <x v="2"/>
    <x v="12"/>
    <s v="P9"/>
    <x v="0"/>
    <s v="Ambos"/>
    <s v="Lazer"/>
    <s v="Adidas"/>
    <s v="Geral"/>
    <n v="1"/>
    <s v="F3"/>
    <x v="2"/>
    <s v="Vila Aurélio"/>
    <x v="1"/>
    <s v="C36"/>
    <x v="38"/>
    <s v="Brasil Novo"/>
    <s v="P. Bernades"/>
  </r>
  <r>
    <n v="400"/>
    <x v="67"/>
    <x v="2"/>
    <x v="19"/>
    <s v="P8"/>
    <x v="1"/>
    <s v="Feminino"/>
    <s v="Esporte"/>
    <s v="Adidas"/>
    <s v="Musculaçao"/>
    <n v="3"/>
    <s v="F8"/>
    <x v="7"/>
    <s v="Brasil Novo"/>
    <x v="3"/>
    <s v="C41"/>
    <x v="15"/>
    <s v="Jardim Santana"/>
    <s v="P. Prudente"/>
  </r>
  <r>
    <n v="399"/>
    <x v="68"/>
    <x v="2"/>
    <x v="20"/>
    <s v="P7"/>
    <x v="2"/>
    <s v="Masculino"/>
    <s v="Esporte e Lazer"/>
    <s v="Adidas"/>
    <s v="Corrida"/>
    <n v="2"/>
    <s v="F6"/>
    <x v="3"/>
    <s v="Vila Boa Vista"/>
    <x v="2"/>
    <s v="C23"/>
    <x v="17"/>
    <s v="Bela Vista"/>
    <s v="Alv.Machado"/>
  </r>
  <r>
    <n v="398"/>
    <x v="69"/>
    <x v="2"/>
    <x v="20"/>
    <s v="P6"/>
    <x v="3"/>
    <s v="Masculino"/>
    <s v="Esporte e Lazer"/>
    <s v="Nike"/>
    <s v="Geral"/>
    <n v="1"/>
    <s v="F7"/>
    <x v="5"/>
    <s v="Cecap"/>
    <x v="0"/>
    <s v="C19"/>
    <x v="33"/>
    <s v="São José"/>
    <s v="P. Prudente"/>
  </r>
  <r>
    <n v="397"/>
    <x v="70"/>
    <x v="2"/>
    <x v="20"/>
    <s v="P5"/>
    <x v="4"/>
    <s v="Ambos"/>
    <s v="Esporte e Lazer"/>
    <s v="Nike"/>
    <s v="Geral"/>
    <n v="2"/>
    <s v="F2"/>
    <x v="6"/>
    <s v="Jardim paulista"/>
    <x v="0"/>
    <s v="C33"/>
    <x v="36"/>
    <s v="Jardim Santa Clara"/>
    <s v="P. Prudente"/>
  </r>
  <r>
    <n v="396"/>
    <x v="71"/>
    <x v="2"/>
    <x v="4"/>
    <s v="P4"/>
    <x v="5"/>
    <s v="Ambos"/>
    <s v="Corrida e Lazer"/>
    <s v="Nike"/>
    <s v="Geral"/>
    <n v="2"/>
    <s v="F2"/>
    <x v="6"/>
    <s v="Jardim paulista"/>
    <x v="0"/>
    <s v="C23"/>
    <x v="17"/>
    <s v="Bela Vista"/>
    <s v="Alv.Machado"/>
  </r>
  <r>
    <n v="395"/>
    <x v="72"/>
    <x v="2"/>
    <x v="5"/>
    <s v="P3"/>
    <x v="6"/>
    <s v="Ambos"/>
    <s v="Musculaçao"/>
    <s v="Strongbrand"/>
    <s v="Musculaçao"/>
    <n v="2"/>
    <s v="F9"/>
    <x v="1"/>
    <s v="Centro"/>
    <x v="1"/>
    <s v="C41"/>
    <x v="15"/>
    <s v="Jardim Santana"/>
    <s v="P. Prudente"/>
  </r>
  <r>
    <n v="394"/>
    <x v="73"/>
    <x v="2"/>
    <x v="37"/>
    <s v="P2"/>
    <x v="7"/>
    <s v="Ambos"/>
    <s v="Musculaçao"/>
    <s v="Strongbrand"/>
    <s v="Musculaçao"/>
    <n v="3"/>
    <s v="F4"/>
    <x v="4"/>
    <s v="Jardim São Bento"/>
    <x v="0"/>
    <s v="C32"/>
    <x v="11"/>
    <s v="Matadouro"/>
    <s v="P. Prudente"/>
  </r>
  <r>
    <n v="393"/>
    <x v="74"/>
    <x v="2"/>
    <x v="31"/>
    <s v="P1"/>
    <x v="8"/>
    <s v="Ambos"/>
    <s v="Musculaçao"/>
    <s v="Strongbrand"/>
    <s v="Musculaçao"/>
    <n v="3"/>
    <s v="F9"/>
    <x v="1"/>
    <s v="Centro"/>
    <x v="1"/>
    <s v="C22"/>
    <x v="13"/>
    <s v="Raio do Sol"/>
    <s v="P. Prudente"/>
  </r>
  <r>
    <n v="392"/>
    <x v="75"/>
    <x v="2"/>
    <x v="38"/>
    <s v="P22"/>
    <x v="9"/>
    <s v="Ambos"/>
    <s v="Bicicletas"/>
    <s v="Caloi"/>
    <s v="Geral"/>
    <n v="2"/>
    <s v="F7"/>
    <x v="5"/>
    <s v="Cecap"/>
    <x v="0"/>
    <s v="C16"/>
    <x v="3"/>
    <s v="Centro"/>
    <s v="Alv.Machado"/>
  </r>
  <r>
    <n v="391"/>
    <x v="76"/>
    <x v="2"/>
    <x v="9"/>
    <s v="P21"/>
    <x v="10"/>
    <s v="Ambos"/>
    <s v="Bicicletas"/>
    <s v="Caloi"/>
    <s v="Geral"/>
    <n v="1"/>
    <s v="F6"/>
    <x v="3"/>
    <s v="Vila Boa Vista"/>
    <x v="2"/>
    <s v="C11"/>
    <x v="16"/>
    <s v="Bela Vista"/>
    <s v="P. Prudente"/>
  </r>
  <r>
    <n v="390"/>
    <x v="77"/>
    <x v="2"/>
    <x v="23"/>
    <s v="P20"/>
    <x v="11"/>
    <s v="Ambos"/>
    <s v="Bermuda  "/>
    <s v="Puma"/>
    <s v="-"/>
    <n v="3"/>
    <s v="F8"/>
    <x v="7"/>
    <s v="Brasil Novo"/>
    <x v="3"/>
    <s v="C38"/>
    <x v="4"/>
    <s v="Centro"/>
    <s v="P. Prudente"/>
  </r>
  <r>
    <n v="389"/>
    <x v="59"/>
    <x v="2"/>
    <x v="17"/>
    <s v="P19"/>
    <x v="12"/>
    <s v="Masculino"/>
    <s v="Camisas"/>
    <s v="Puma"/>
    <s v="Corrida e Lazer"/>
    <n v="1"/>
    <s v="F1"/>
    <x v="0"/>
    <s v="Jardim São Bento"/>
    <x v="0"/>
    <s v="C18"/>
    <x v="41"/>
    <s v="Centro"/>
    <s v="Alv.Machado"/>
  </r>
  <r>
    <n v="388"/>
    <x v="60"/>
    <x v="2"/>
    <x v="33"/>
    <s v="P18"/>
    <x v="13"/>
    <s v="Ambos"/>
    <s v="Esporte e Lazer"/>
    <s v="Nike"/>
    <s v="Futebol"/>
    <n v="2"/>
    <s v="F4"/>
    <x v="4"/>
    <s v="Jardim São Bento"/>
    <x v="0"/>
    <s v="C9"/>
    <x v="32"/>
    <s v="São Lucas"/>
    <s v="P. Bernardes "/>
  </r>
  <r>
    <n v="387"/>
    <x v="61"/>
    <x v="2"/>
    <x v="42"/>
    <s v="P17"/>
    <x v="14"/>
    <s v="Ambos"/>
    <s v="Esporte"/>
    <s v="NB"/>
    <s v="Academia"/>
    <n v="3"/>
    <s v="F4"/>
    <x v="4"/>
    <s v="Jardim São Bento"/>
    <x v="0"/>
    <s v="C34"/>
    <x v="44"/>
    <s v="Jardim Santa Elisa"/>
    <s v="P. Prudente"/>
  </r>
  <r>
    <n v="386"/>
    <x v="62"/>
    <x v="2"/>
    <x v="41"/>
    <s v="P16"/>
    <x v="15"/>
    <s v="Masculino"/>
    <s v="Lazer e Casual"/>
    <s v="NB"/>
    <s v="-"/>
    <n v="2"/>
    <s v="F8"/>
    <x v="7"/>
    <s v="Brasil Novo"/>
    <x v="3"/>
    <s v="C10"/>
    <x v="20"/>
    <s v="Vila Paulista"/>
    <s v="P. Prudente"/>
  </r>
  <r>
    <n v="385"/>
    <x v="63"/>
    <x v="2"/>
    <x v="34"/>
    <s v="P15"/>
    <x v="16"/>
    <s v="Ambos"/>
    <s v="Casual"/>
    <s v="Nike"/>
    <s v="-"/>
    <n v="3"/>
    <s v="F1"/>
    <x v="0"/>
    <s v="Jardim São Bento"/>
    <x v="0"/>
    <s v="C17"/>
    <x v="47"/>
    <s v="Raio do Sol"/>
    <s v="Martinopolis"/>
  </r>
  <r>
    <n v="384"/>
    <x v="64"/>
    <x v="2"/>
    <x v="35"/>
    <s v="P14"/>
    <x v="17"/>
    <s v="Feminino"/>
    <s v="Casual"/>
    <s v="NB"/>
    <s v="-"/>
    <n v="2"/>
    <s v="F2"/>
    <x v="6"/>
    <s v="Jardim paulista"/>
    <x v="0"/>
    <s v="C50"/>
    <x v="2"/>
    <s v="Matadouro"/>
    <s v="Alv.Machado"/>
  </r>
  <r>
    <n v="383"/>
    <x v="65"/>
    <x v="2"/>
    <x v="25"/>
    <s v="P13"/>
    <x v="18"/>
    <s v="Feminino"/>
    <s v="Corrida"/>
    <s v="NB"/>
    <s v="Corrida"/>
    <n v="3"/>
    <s v="F1"/>
    <x v="0"/>
    <s v="Jardim São Bento"/>
    <x v="0"/>
    <s v="C46"/>
    <x v="31"/>
    <s v="Vila Barbeiro"/>
    <s v="P. Prudente"/>
  </r>
  <r>
    <n v="382"/>
    <x v="66"/>
    <x v="2"/>
    <x v="10"/>
    <s v="P12"/>
    <x v="19"/>
    <s v="Ambos"/>
    <s v="Corrida e Lazer"/>
    <s v="Nike"/>
    <s v="Corrida"/>
    <n v="2"/>
    <s v="F5"/>
    <x v="8"/>
    <s v="Ana jacinta"/>
    <x v="0"/>
    <s v="C49"/>
    <x v="24"/>
    <s v="Vila Aurélio"/>
    <s v="P. Prudente"/>
  </r>
  <r>
    <n v="381"/>
    <x v="67"/>
    <x v="2"/>
    <x v="26"/>
    <s v="P11"/>
    <x v="20"/>
    <s v="Masculino"/>
    <s v="Esporte"/>
    <s v="Nike"/>
    <s v="Geral"/>
    <n v="2"/>
    <s v="F7"/>
    <x v="5"/>
    <s v="Cecap"/>
    <x v="0"/>
    <s v="C12"/>
    <x v="19"/>
    <s v="Bela Vista"/>
    <s v="Alv.Machado"/>
  </r>
  <r>
    <n v="380"/>
    <x v="68"/>
    <x v="2"/>
    <x v="27"/>
    <s v="P10"/>
    <x v="21"/>
    <s v="Masculino"/>
    <s v="Esporte e Lazer"/>
    <s v="Nike"/>
    <s v="Geral"/>
    <n v="2"/>
    <s v="F7"/>
    <x v="5"/>
    <s v="Cecap"/>
    <x v="0"/>
    <s v="C19"/>
    <x v="33"/>
    <s v="São José"/>
    <s v="P. Prudente"/>
  </r>
  <r>
    <n v="379"/>
    <x v="69"/>
    <x v="2"/>
    <x v="0"/>
    <s v="P9"/>
    <x v="0"/>
    <s v="Ambos"/>
    <s v="Lazer"/>
    <s v="Adidas"/>
    <s v="Geral"/>
    <n v="2"/>
    <s v="F9"/>
    <x v="1"/>
    <s v="Centro"/>
    <x v="1"/>
    <s v="C16"/>
    <x v="3"/>
    <s v="Centro"/>
    <s v="Alv.Machado"/>
  </r>
  <r>
    <n v="378"/>
    <x v="70"/>
    <x v="2"/>
    <x v="28"/>
    <s v="P8"/>
    <x v="1"/>
    <s v="Feminino"/>
    <s v="Esporte"/>
    <s v="Adidas"/>
    <s v="Musculaçao"/>
    <n v="1"/>
    <s v="F9"/>
    <x v="1"/>
    <s v="Centro"/>
    <x v="1"/>
    <s v="C11"/>
    <x v="16"/>
    <s v="Bela Vista"/>
    <s v="P. Prudente"/>
  </r>
  <r>
    <n v="377"/>
    <x v="71"/>
    <x v="2"/>
    <x v="0"/>
    <s v="P7"/>
    <x v="2"/>
    <s v="Masculino"/>
    <s v="Esporte e Lazer"/>
    <s v="Adidas"/>
    <s v="Corrida"/>
    <n v="3"/>
    <s v="F7"/>
    <x v="5"/>
    <s v="Cecap"/>
    <x v="0"/>
    <s v="C12"/>
    <x v="19"/>
    <s v="Bela Vista"/>
    <s v="Alv.Machado"/>
  </r>
  <r>
    <n v="376"/>
    <x v="72"/>
    <x v="2"/>
    <x v="3"/>
    <s v="P6"/>
    <x v="3"/>
    <s v="Masculino"/>
    <s v="Esporte e Lazer"/>
    <s v="Nike"/>
    <s v="Geral"/>
    <n v="3"/>
    <s v="F3"/>
    <x v="2"/>
    <s v="Vila Aurélio"/>
    <x v="1"/>
    <s v="C29"/>
    <x v="1"/>
    <s v="Centro"/>
    <s v="Alv.Machado"/>
  </r>
  <r>
    <n v="375"/>
    <x v="73"/>
    <x v="2"/>
    <x v="0"/>
    <s v="P5"/>
    <x v="4"/>
    <s v="Ambos"/>
    <s v="Esporte e Lazer"/>
    <s v="Nike"/>
    <s v="Geral"/>
    <n v="3"/>
    <s v="F9"/>
    <x v="1"/>
    <s v="Centro"/>
    <x v="1"/>
    <s v="C5"/>
    <x v="6"/>
    <s v="Bela Vista"/>
    <s v="P. Prudente"/>
  </r>
  <r>
    <n v="374"/>
    <x v="74"/>
    <x v="2"/>
    <x v="4"/>
    <s v="P4"/>
    <x v="5"/>
    <s v="Ambos"/>
    <s v="Corrida e Lazer"/>
    <s v="Nike"/>
    <s v="Geral"/>
    <n v="2"/>
    <s v="F2"/>
    <x v="6"/>
    <s v="Jardim paulista"/>
    <x v="0"/>
    <s v="C15"/>
    <x v="0"/>
    <s v="Vila Paulista"/>
    <s v="P. Prudente"/>
  </r>
  <r>
    <n v="373"/>
    <x v="75"/>
    <x v="2"/>
    <x v="5"/>
    <s v="P3"/>
    <x v="6"/>
    <s v="Ambos"/>
    <s v="Musculaçao"/>
    <s v="Strongbrand"/>
    <s v="Musculaçao"/>
    <n v="2"/>
    <s v="F1"/>
    <x v="0"/>
    <s v="Jardim São Bento"/>
    <x v="0"/>
    <s v="C40"/>
    <x v="37"/>
    <s v="Jardim Santa Paula"/>
    <s v="P. Prudente"/>
  </r>
  <r>
    <n v="372"/>
    <x v="76"/>
    <x v="2"/>
    <x v="37"/>
    <s v="P2"/>
    <x v="7"/>
    <s v="Ambos"/>
    <s v="Musculaçao"/>
    <s v="Strongbrand"/>
    <s v="Musculaçao"/>
    <n v="3"/>
    <s v="F2"/>
    <x v="6"/>
    <s v="Jardim paulista"/>
    <x v="0"/>
    <s v="C22"/>
    <x v="13"/>
    <s v="Raio do Sol"/>
    <s v="P. Prudente"/>
  </r>
  <r>
    <n v="371"/>
    <x v="77"/>
    <x v="2"/>
    <x v="31"/>
    <s v="P1"/>
    <x v="8"/>
    <s v="Ambos"/>
    <s v="Musculaçao"/>
    <s v="Strongbrand"/>
    <s v="Musculaçao"/>
    <n v="3"/>
    <s v="F8"/>
    <x v="7"/>
    <s v="Brasil Novo"/>
    <x v="3"/>
    <s v="C15"/>
    <x v="0"/>
    <s v="Vila Paulista"/>
    <s v="P. Prudente"/>
  </r>
  <r>
    <n v="370"/>
    <x v="78"/>
    <x v="3"/>
    <x v="24"/>
    <s v="P19"/>
    <x v="12"/>
    <s v="Masculino"/>
    <s v="Camisas"/>
    <s v="Puma"/>
    <s v="Corrida e Lazer"/>
    <n v="3"/>
    <s v="F8"/>
    <x v="7"/>
    <s v="Brasil Novo"/>
    <x v="3"/>
    <s v="C18"/>
    <x v="41"/>
    <s v="Centro"/>
    <s v="Alv.Machado"/>
  </r>
  <r>
    <n v="369"/>
    <x v="79"/>
    <x v="3"/>
    <x v="33"/>
    <s v="P18"/>
    <x v="13"/>
    <s v="Ambos"/>
    <s v="Esporte e Lazer"/>
    <s v="Nike"/>
    <s v="Futebol"/>
    <n v="2"/>
    <s v="F5"/>
    <x v="8"/>
    <s v="Ana jacinta"/>
    <x v="0"/>
    <s v="C50"/>
    <x v="2"/>
    <s v="Matadouro"/>
    <s v="Alv.Machado"/>
  </r>
  <r>
    <n v="368"/>
    <x v="80"/>
    <x v="3"/>
    <x v="12"/>
    <s v="P17"/>
    <x v="14"/>
    <s v="Ambos"/>
    <s v="Esporte"/>
    <s v="NB"/>
    <s v="Academia"/>
    <n v="2"/>
    <s v="F2"/>
    <x v="6"/>
    <s v="Jardim paulista"/>
    <x v="0"/>
    <s v="C44"/>
    <x v="30"/>
    <s v="Vila Áurea"/>
    <s v="P. Prudente"/>
  </r>
  <r>
    <n v="367"/>
    <x v="81"/>
    <x v="3"/>
    <x v="45"/>
    <s v="P16"/>
    <x v="15"/>
    <s v="Masculino"/>
    <s v="Lazer e Casual"/>
    <s v="NB"/>
    <s v="-"/>
    <n v="3"/>
    <s v="F1"/>
    <x v="0"/>
    <s v="Jardim São Bento"/>
    <x v="0"/>
    <s v="C14"/>
    <x v="28"/>
    <s v="São Lucas"/>
    <s v="P. Bernardes "/>
  </r>
  <r>
    <n v="366"/>
    <x v="82"/>
    <x v="3"/>
    <x v="14"/>
    <s v="P15"/>
    <x v="16"/>
    <s v="Ambos"/>
    <s v="Casual"/>
    <s v="Nike"/>
    <s v="-"/>
    <n v="1"/>
    <s v="F8"/>
    <x v="7"/>
    <s v="Brasil Novo"/>
    <x v="3"/>
    <s v="C31"/>
    <x v="18"/>
    <s v="Bela Vista"/>
    <s v="P. Bernardes "/>
  </r>
  <r>
    <n v="365"/>
    <x v="83"/>
    <x v="3"/>
    <x v="4"/>
    <s v="P14"/>
    <x v="17"/>
    <s v="Feminino"/>
    <s v="Casual"/>
    <s v="NB"/>
    <s v="-"/>
    <n v="1"/>
    <s v="F9"/>
    <x v="1"/>
    <s v="Centro"/>
    <x v="1"/>
    <s v="C13"/>
    <x v="21"/>
    <s v="Raio do Sol"/>
    <s v="P. Prudente"/>
  </r>
  <r>
    <n v="364"/>
    <x v="84"/>
    <x v="3"/>
    <x v="42"/>
    <s v="P13"/>
    <x v="18"/>
    <s v="Feminino"/>
    <s v="Corrida"/>
    <s v="NB"/>
    <s v="Corrida"/>
    <n v="1"/>
    <s v="F2"/>
    <x v="6"/>
    <s v="Jardim paulista"/>
    <x v="0"/>
    <s v="C7"/>
    <x v="23"/>
    <s v="Matadouro"/>
    <s v="P. Prudente"/>
  </r>
  <r>
    <n v="363"/>
    <x v="85"/>
    <x v="3"/>
    <x v="10"/>
    <s v="P12"/>
    <x v="19"/>
    <s v="Ambos"/>
    <s v="Corrida e Lazer"/>
    <s v="Nike"/>
    <s v="Corrida"/>
    <n v="2"/>
    <s v="F1"/>
    <x v="0"/>
    <s v="Jardim São Bento"/>
    <x v="0"/>
    <s v="C11"/>
    <x v="16"/>
    <s v="Bela Vista"/>
    <s v="P. Prudente"/>
  </r>
  <r>
    <n v="362"/>
    <x v="86"/>
    <x v="3"/>
    <x v="6"/>
    <s v="P11"/>
    <x v="20"/>
    <s v="Masculino"/>
    <s v="Esporte"/>
    <s v="Nike"/>
    <s v="Geral"/>
    <n v="1"/>
    <s v="F2"/>
    <x v="6"/>
    <s v="Jardim paulista"/>
    <x v="0"/>
    <s v="C30"/>
    <x v="35"/>
    <s v="São José"/>
    <s v="P. Prudente"/>
  </r>
  <r>
    <n v="361"/>
    <x v="87"/>
    <x v="3"/>
    <x v="27"/>
    <s v="P10"/>
    <x v="21"/>
    <s v="Masculino"/>
    <s v="Esporte e Lazer"/>
    <s v="Nike"/>
    <s v="Geral"/>
    <n v="2"/>
    <s v="F9"/>
    <x v="1"/>
    <s v="Centro"/>
    <x v="1"/>
    <s v="C10"/>
    <x v="20"/>
    <s v="Vila Paulista"/>
    <s v="P. Prudente"/>
  </r>
  <r>
    <n v="360"/>
    <x v="88"/>
    <x v="3"/>
    <x v="16"/>
    <s v="P9"/>
    <x v="0"/>
    <s v="Ambos"/>
    <s v="Lazer"/>
    <s v="Adidas"/>
    <s v="Geral"/>
    <n v="3"/>
    <s v="F8"/>
    <x v="7"/>
    <s v="Brasil Novo"/>
    <x v="3"/>
    <s v="C28"/>
    <x v="29"/>
    <s v="Raio do Sol"/>
    <s v="Martinopolis"/>
  </r>
  <r>
    <n v="359"/>
    <x v="89"/>
    <x v="3"/>
    <x v="28"/>
    <s v="P8"/>
    <x v="1"/>
    <s v="Feminino"/>
    <s v="Esporte"/>
    <s v="Adidas"/>
    <s v="Musculaçao"/>
    <n v="1"/>
    <s v="F3"/>
    <x v="2"/>
    <s v="Vila Aurélio"/>
    <x v="1"/>
    <s v="C44"/>
    <x v="30"/>
    <s v="Vila Áurea"/>
    <s v="P. Prudente"/>
  </r>
  <r>
    <n v="358"/>
    <x v="90"/>
    <x v="3"/>
    <x v="20"/>
    <s v="P7"/>
    <x v="2"/>
    <s v="Masculino"/>
    <s v="Esporte e Lazer"/>
    <s v="Adidas"/>
    <s v="Corrida"/>
    <n v="2"/>
    <s v="F4"/>
    <x v="4"/>
    <s v="Jardim São Bento"/>
    <x v="0"/>
    <s v="C49"/>
    <x v="24"/>
    <s v="Vila Aurélio"/>
    <s v="P. Prudente"/>
  </r>
  <r>
    <n v="357"/>
    <x v="91"/>
    <x v="3"/>
    <x v="20"/>
    <s v="P6"/>
    <x v="3"/>
    <s v="Masculino"/>
    <s v="Esporte e Lazer"/>
    <s v="Nike"/>
    <s v="Geral"/>
    <n v="1"/>
    <s v="F3"/>
    <x v="2"/>
    <s v="Vila Aurélio"/>
    <x v="1"/>
    <s v="C42"/>
    <x v="25"/>
    <s v="Jardim São Bento"/>
    <s v="P. Prudente"/>
  </r>
  <r>
    <n v="356"/>
    <x v="92"/>
    <x v="3"/>
    <x v="20"/>
    <s v="P5"/>
    <x v="4"/>
    <s v="Ambos"/>
    <s v="Esporte e Lazer"/>
    <s v="Nike"/>
    <s v="Geral"/>
    <n v="2"/>
    <s v="F6"/>
    <x v="3"/>
    <s v="Vila Boa Vista"/>
    <x v="2"/>
    <s v="C36"/>
    <x v="38"/>
    <s v="Brasil Novo"/>
    <s v="P. Bernades"/>
  </r>
  <r>
    <n v="355"/>
    <x v="93"/>
    <x v="3"/>
    <x v="4"/>
    <s v="P4"/>
    <x v="5"/>
    <s v="Ambos"/>
    <s v="Corrida e Lazer"/>
    <s v="Nike"/>
    <s v="Geral"/>
    <n v="2"/>
    <s v="F8"/>
    <x v="7"/>
    <s v="Brasil Novo"/>
    <x v="3"/>
    <s v="C21"/>
    <x v="7"/>
    <s v="Matadouro"/>
    <s v="P. Prudente"/>
  </r>
  <r>
    <n v="354"/>
    <x v="94"/>
    <x v="3"/>
    <x v="5"/>
    <s v="P3"/>
    <x v="6"/>
    <s v="Ambos"/>
    <s v="Musculaçao"/>
    <s v="Strongbrand"/>
    <s v="Musculaçao"/>
    <n v="2"/>
    <s v="F9"/>
    <x v="1"/>
    <s v="Centro"/>
    <x v="1"/>
    <s v="C47"/>
    <x v="10"/>
    <s v="Vila Boa Vista"/>
    <s v="P. Prudente"/>
  </r>
  <r>
    <n v="353"/>
    <x v="95"/>
    <x v="3"/>
    <x v="6"/>
    <s v="P2"/>
    <x v="7"/>
    <s v="Ambos"/>
    <s v="Musculaçao"/>
    <s v="Strongbrand"/>
    <s v="Musculaçao"/>
    <n v="2"/>
    <s v="F6"/>
    <x v="3"/>
    <s v="Vila Boa Vista"/>
    <x v="2"/>
    <s v="C40"/>
    <x v="37"/>
    <s v="Jardim Santa Paula"/>
    <s v="P. Prudente"/>
  </r>
  <r>
    <n v="352"/>
    <x v="96"/>
    <x v="3"/>
    <x v="7"/>
    <s v="P1"/>
    <x v="8"/>
    <s v="Ambos"/>
    <s v="Musculaçao"/>
    <s v="Strongbrand"/>
    <s v="Musculaçao"/>
    <n v="1"/>
    <s v="F3"/>
    <x v="2"/>
    <s v="Vila Aurélio"/>
    <x v="1"/>
    <s v="C40"/>
    <x v="37"/>
    <s v="Jardim Santa Paula"/>
    <s v="P. Prudente"/>
  </r>
  <r>
    <n v="351"/>
    <x v="97"/>
    <x v="3"/>
    <x v="32"/>
    <s v="P22"/>
    <x v="9"/>
    <s v="Ambos"/>
    <s v="Bicicletas"/>
    <s v="Caloi"/>
    <s v="Geral"/>
    <n v="3"/>
    <s v="F9"/>
    <x v="1"/>
    <s v="Centro"/>
    <x v="1"/>
    <s v="C41"/>
    <x v="15"/>
    <s v="Jardim Santana"/>
    <s v="P. Prudente"/>
  </r>
  <r>
    <n v="350"/>
    <x v="98"/>
    <x v="3"/>
    <x v="22"/>
    <s v="P21"/>
    <x v="10"/>
    <s v="Ambos"/>
    <s v="Bicicletas"/>
    <s v="Caloi"/>
    <s v="Geral"/>
    <n v="2"/>
    <s v="F5"/>
    <x v="8"/>
    <s v="Ana jacinta"/>
    <x v="0"/>
    <s v="C1"/>
    <x v="43"/>
    <s v="Centro"/>
    <s v="Alv. Machado"/>
  </r>
  <r>
    <n v="349"/>
    <x v="99"/>
    <x v="3"/>
    <x v="39"/>
    <s v="P20"/>
    <x v="11"/>
    <s v="Ambos"/>
    <s v="Bermuda  "/>
    <s v="Puma"/>
    <s v="-"/>
    <n v="2"/>
    <s v="F4"/>
    <x v="4"/>
    <s v="Jardim São Bento"/>
    <x v="0"/>
    <s v="C42"/>
    <x v="25"/>
    <s v="Jardim São Bento"/>
    <s v="P. Prudente"/>
  </r>
  <r>
    <n v="348"/>
    <x v="81"/>
    <x v="3"/>
    <x v="17"/>
    <s v="P19"/>
    <x v="12"/>
    <s v="Masculino"/>
    <s v="Camisas"/>
    <s v="Puma"/>
    <s v="Corrida e Lazer"/>
    <n v="1"/>
    <s v="F7"/>
    <x v="5"/>
    <s v="Cecap"/>
    <x v="0"/>
    <s v="C30"/>
    <x v="35"/>
    <s v="São José"/>
    <s v="P. Prudente"/>
  </r>
  <r>
    <n v="347"/>
    <x v="82"/>
    <x v="3"/>
    <x v="40"/>
    <s v="P18"/>
    <x v="13"/>
    <s v="Ambos"/>
    <s v="Esporte e Lazer"/>
    <s v="Nike"/>
    <s v="Futebol"/>
    <n v="3"/>
    <s v="F3"/>
    <x v="2"/>
    <s v="Vila Aurélio"/>
    <x v="1"/>
    <s v="C29"/>
    <x v="1"/>
    <s v="Centro"/>
    <s v="Alv.Machado"/>
  </r>
  <r>
    <n v="346"/>
    <x v="83"/>
    <x v="3"/>
    <x v="42"/>
    <s v="P17"/>
    <x v="14"/>
    <s v="Ambos"/>
    <s v="Esporte"/>
    <s v="NB"/>
    <s v="Academia"/>
    <n v="3"/>
    <s v="F1"/>
    <x v="0"/>
    <s v="Jardim São Bento"/>
    <x v="0"/>
    <s v="C22"/>
    <x v="13"/>
    <s v="Raio do Sol"/>
    <s v="P. Prudente"/>
  </r>
  <r>
    <n v="345"/>
    <x v="84"/>
    <x v="3"/>
    <x v="13"/>
    <s v="P16"/>
    <x v="15"/>
    <s v="Masculino"/>
    <s v="Lazer e Casual"/>
    <s v="NB"/>
    <s v="-"/>
    <n v="1"/>
    <s v="F1"/>
    <x v="0"/>
    <s v="Jardim São Bento"/>
    <x v="0"/>
    <s v="C39"/>
    <x v="48"/>
    <s v="Jardim Santa Olga"/>
    <s v="P. Prudente"/>
  </r>
  <r>
    <n v="344"/>
    <x v="85"/>
    <x v="3"/>
    <x v="34"/>
    <s v="P15"/>
    <x v="16"/>
    <s v="Ambos"/>
    <s v="Casual"/>
    <s v="Nike"/>
    <s v="-"/>
    <n v="3"/>
    <s v="F9"/>
    <x v="1"/>
    <s v="Centro"/>
    <x v="1"/>
    <s v="C31"/>
    <x v="18"/>
    <s v="Bela Vista"/>
    <s v="P. Bernardes "/>
  </r>
  <r>
    <n v="343"/>
    <x v="86"/>
    <x v="3"/>
    <x v="15"/>
    <s v="P14"/>
    <x v="17"/>
    <s v="Feminino"/>
    <s v="Casual"/>
    <s v="NB"/>
    <s v="-"/>
    <n v="3"/>
    <s v="F3"/>
    <x v="2"/>
    <s v="Vila Aurélio"/>
    <x v="1"/>
    <s v="C45"/>
    <x v="26"/>
    <s v="Vila Aurélio"/>
    <s v="P. Prudente"/>
  </r>
  <r>
    <n v="342"/>
    <x v="87"/>
    <x v="3"/>
    <x v="25"/>
    <s v="P13"/>
    <x v="18"/>
    <s v="Feminino"/>
    <s v="Corrida"/>
    <s v="NB"/>
    <s v="Corrida"/>
    <n v="3"/>
    <s v="F5"/>
    <x v="8"/>
    <s v="Ana jacinta"/>
    <x v="0"/>
    <s v="C50"/>
    <x v="2"/>
    <s v="Matadouro"/>
    <s v="Alv.Machado"/>
  </r>
  <r>
    <n v="341"/>
    <x v="88"/>
    <x v="3"/>
    <x v="17"/>
    <s v="P12"/>
    <x v="19"/>
    <s v="Ambos"/>
    <s v="Corrida e Lazer"/>
    <s v="Nike"/>
    <s v="Corrida"/>
    <n v="1"/>
    <s v="F4"/>
    <x v="4"/>
    <s v="Jardim São Bento"/>
    <x v="0"/>
    <s v="C12"/>
    <x v="19"/>
    <s v="Bela Vista"/>
    <s v="Alv.Machado"/>
  </r>
  <r>
    <n v="340"/>
    <x v="89"/>
    <x v="3"/>
    <x v="43"/>
    <s v="P11"/>
    <x v="20"/>
    <s v="Masculino"/>
    <s v="Esporte"/>
    <s v="Nike"/>
    <s v="Geral"/>
    <n v="3"/>
    <s v="F1"/>
    <x v="0"/>
    <s v="Jardim São Bento"/>
    <x v="0"/>
    <s v="C36"/>
    <x v="38"/>
    <s v="Brasil Novo"/>
    <s v="P. Bernades"/>
  </r>
  <r>
    <n v="339"/>
    <x v="90"/>
    <x v="3"/>
    <x v="18"/>
    <s v="P10"/>
    <x v="21"/>
    <s v="Masculino"/>
    <s v="Esporte e Lazer"/>
    <s v="Nike"/>
    <s v="Geral"/>
    <n v="1"/>
    <s v="F6"/>
    <x v="3"/>
    <s v="Vila Boa Vista"/>
    <x v="2"/>
    <s v="C41"/>
    <x v="15"/>
    <s v="Jardim Santana"/>
    <s v="P. Prudente"/>
  </r>
  <r>
    <n v="338"/>
    <x v="91"/>
    <x v="3"/>
    <x v="16"/>
    <s v="P9"/>
    <x v="0"/>
    <s v="Ambos"/>
    <s v="Lazer"/>
    <s v="Adidas"/>
    <s v="Geral"/>
    <n v="3"/>
    <s v="F3"/>
    <x v="2"/>
    <s v="Vila Aurélio"/>
    <x v="1"/>
    <s v="C38"/>
    <x v="4"/>
    <s v="Centro"/>
    <s v="P. Prudente"/>
  </r>
  <r>
    <n v="337"/>
    <x v="92"/>
    <x v="3"/>
    <x v="1"/>
    <s v="P8"/>
    <x v="1"/>
    <s v="Feminino"/>
    <s v="Esporte"/>
    <s v="Adidas"/>
    <s v="Musculaçao"/>
    <n v="2"/>
    <s v="F3"/>
    <x v="2"/>
    <s v="Vila Aurélio"/>
    <x v="1"/>
    <s v="C24"/>
    <x v="8"/>
    <s v="São José"/>
    <s v="P. Prudente"/>
  </r>
  <r>
    <n v="336"/>
    <x v="93"/>
    <x v="3"/>
    <x v="20"/>
    <s v="P7"/>
    <x v="2"/>
    <s v="Masculino"/>
    <s v="Esporte e Lazer"/>
    <s v="Adidas"/>
    <s v="Corrida"/>
    <n v="2"/>
    <s v="F9"/>
    <x v="1"/>
    <s v="Centro"/>
    <x v="1"/>
    <s v="C2"/>
    <x v="45"/>
    <s v="São José"/>
    <s v="P. Prudente"/>
  </r>
  <r>
    <n v="335"/>
    <x v="94"/>
    <x v="3"/>
    <x v="8"/>
    <s v="P6"/>
    <x v="3"/>
    <s v="Masculino"/>
    <s v="Esporte e Lazer"/>
    <s v="Nike"/>
    <s v="Geral"/>
    <n v="2"/>
    <s v="F4"/>
    <x v="4"/>
    <s v="Jardim São Bento"/>
    <x v="0"/>
    <s v="C26"/>
    <x v="42"/>
    <s v="Matadouro"/>
    <s v="P. Prudente"/>
  </r>
  <r>
    <n v="334"/>
    <x v="95"/>
    <x v="3"/>
    <x v="0"/>
    <s v="P5"/>
    <x v="4"/>
    <s v="Ambos"/>
    <s v="Esporte e Lazer"/>
    <s v="Nike"/>
    <s v="Geral"/>
    <n v="3"/>
    <s v="F3"/>
    <x v="2"/>
    <s v="Vila Aurélio"/>
    <x v="1"/>
    <s v="C39"/>
    <x v="48"/>
    <s v="Jardim Santa Olga"/>
    <s v="P. Prudente"/>
  </r>
  <r>
    <n v="333"/>
    <x v="96"/>
    <x v="3"/>
    <x v="4"/>
    <s v="P4"/>
    <x v="5"/>
    <s v="Ambos"/>
    <s v="Corrida e Lazer"/>
    <s v="Nike"/>
    <s v="Geral"/>
    <n v="2"/>
    <s v="F8"/>
    <x v="7"/>
    <s v="Brasil Novo"/>
    <x v="3"/>
    <s v="C48"/>
    <x v="40"/>
    <s v="Vila Boa Vista"/>
    <s v="P. Prudente"/>
  </r>
  <r>
    <n v="332"/>
    <x v="97"/>
    <x v="3"/>
    <x v="5"/>
    <s v="P3"/>
    <x v="6"/>
    <s v="Ambos"/>
    <s v="Musculaçao"/>
    <s v="Strongbrand"/>
    <s v="Musculaçao"/>
    <n v="2"/>
    <s v="F8"/>
    <x v="7"/>
    <s v="Brasil Novo"/>
    <x v="3"/>
    <s v="C20"/>
    <x v="9"/>
    <s v="Bela Vista"/>
    <s v="P. Bernardes "/>
  </r>
  <r>
    <n v="331"/>
    <x v="98"/>
    <x v="3"/>
    <x v="6"/>
    <s v="P2"/>
    <x v="7"/>
    <s v="Ambos"/>
    <s v="Musculaçao"/>
    <s v="Strongbrand"/>
    <s v="Musculaçao"/>
    <n v="2"/>
    <s v="F5"/>
    <x v="8"/>
    <s v="Ana jacinta"/>
    <x v="0"/>
    <s v="C12"/>
    <x v="19"/>
    <s v="Bela Vista"/>
    <s v="Alv.Machado"/>
  </r>
  <r>
    <n v="330"/>
    <x v="99"/>
    <x v="3"/>
    <x v="17"/>
    <s v="P1"/>
    <x v="8"/>
    <s v="Ambos"/>
    <s v="Musculaçao"/>
    <s v="Strongbrand"/>
    <s v="Musculaçao"/>
    <n v="2"/>
    <s v="F5"/>
    <x v="8"/>
    <s v="Ana jacinta"/>
    <x v="0"/>
    <s v="C7"/>
    <x v="23"/>
    <s v="Matadouro"/>
    <s v="P. Prudente"/>
  </r>
  <r>
    <n v="329"/>
    <x v="100"/>
    <x v="4"/>
    <x v="5"/>
    <s v="P20"/>
    <x v="11"/>
    <s v="Ambos"/>
    <s v="Bermuda  "/>
    <s v="Puma"/>
    <s v="-"/>
    <n v="1"/>
    <s v="F6"/>
    <x v="3"/>
    <s v="Vila Boa Vista"/>
    <x v="2"/>
    <s v="C26"/>
    <x v="42"/>
    <s v="Matadouro"/>
    <s v="P. Prudente"/>
  </r>
  <r>
    <n v="328"/>
    <x v="101"/>
    <x v="4"/>
    <x v="24"/>
    <s v="P19"/>
    <x v="12"/>
    <s v="Masculino"/>
    <s v="Camisas"/>
    <s v="Puma"/>
    <s v="Corrida e Lazer"/>
    <n v="3"/>
    <s v="F5"/>
    <x v="8"/>
    <s v="Ana jacinta"/>
    <x v="0"/>
    <s v="C22"/>
    <x v="13"/>
    <s v="Raio do Sol"/>
    <s v="P. Prudente"/>
  </r>
  <r>
    <n v="327"/>
    <x v="102"/>
    <x v="4"/>
    <x v="11"/>
    <s v="P18"/>
    <x v="13"/>
    <s v="Ambos"/>
    <s v="Esporte e Lazer"/>
    <s v="Nike"/>
    <s v="Futebol"/>
    <n v="1"/>
    <s v="F9"/>
    <x v="1"/>
    <s v="Centro"/>
    <x v="1"/>
    <s v="C4"/>
    <x v="46"/>
    <s v="Centro"/>
    <s v="P. Bernardes "/>
  </r>
  <r>
    <n v="326"/>
    <x v="103"/>
    <x v="4"/>
    <x v="42"/>
    <s v="P17"/>
    <x v="14"/>
    <s v="Ambos"/>
    <s v="Esporte"/>
    <s v="NB"/>
    <s v="Academia"/>
    <n v="3"/>
    <s v="F6"/>
    <x v="3"/>
    <s v="Vila Boa Vista"/>
    <x v="2"/>
    <s v="C45"/>
    <x v="26"/>
    <s v="Vila Aurélio"/>
    <s v="P. Prudente"/>
  </r>
  <r>
    <n v="325"/>
    <x v="104"/>
    <x v="4"/>
    <x v="45"/>
    <s v="P16"/>
    <x v="15"/>
    <s v="Masculino"/>
    <s v="Lazer e Casual"/>
    <s v="NB"/>
    <s v="-"/>
    <n v="3"/>
    <s v="F5"/>
    <x v="8"/>
    <s v="Ana jacinta"/>
    <x v="0"/>
    <s v="C5"/>
    <x v="6"/>
    <s v="Bela Vista"/>
    <s v="P. Prudente"/>
  </r>
  <r>
    <n v="324"/>
    <x v="105"/>
    <x v="4"/>
    <x v="46"/>
    <s v="P15"/>
    <x v="16"/>
    <s v="Ambos"/>
    <s v="Casual"/>
    <s v="Nike"/>
    <s v="-"/>
    <n v="2"/>
    <s v="F3"/>
    <x v="2"/>
    <s v="Vila Aurélio"/>
    <x v="1"/>
    <s v="C40"/>
    <x v="37"/>
    <s v="Jardim Santa Paula"/>
    <s v="P. Prudente"/>
  </r>
  <r>
    <n v="323"/>
    <x v="106"/>
    <x v="4"/>
    <x v="4"/>
    <s v="P14"/>
    <x v="17"/>
    <s v="Feminino"/>
    <s v="Casual"/>
    <s v="NB"/>
    <s v="-"/>
    <n v="1"/>
    <s v="F7"/>
    <x v="5"/>
    <s v="Cecap"/>
    <x v="0"/>
    <s v="C30"/>
    <x v="35"/>
    <s v="São José"/>
    <s v="P. Prudente"/>
  </r>
  <r>
    <n v="322"/>
    <x v="100"/>
    <x v="4"/>
    <x v="25"/>
    <s v="P13"/>
    <x v="18"/>
    <s v="Feminino"/>
    <s v="Corrida"/>
    <s v="NB"/>
    <s v="Corrida"/>
    <n v="3"/>
    <s v="F7"/>
    <x v="5"/>
    <s v="Cecap"/>
    <x v="0"/>
    <s v="C4"/>
    <x v="46"/>
    <s v="Centro"/>
    <s v="P. Bernardes "/>
  </r>
  <r>
    <n v="321"/>
    <x v="101"/>
    <x v="4"/>
    <x v="24"/>
    <s v="P12"/>
    <x v="19"/>
    <s v="Ambos"/>
    <s v="Corrida e Lazer"/>
    <s v="Nike"/>
    <s v="Corrida"/>
    <n v="3"/>
    <s v="F2"/>
    <x v="6"/>
    <s v="Jardim paulista"/>
    <x v="0"/>
    <s v="C47"/>
    <x v="10"/>
    <s v="Vila Boa Vista"/>
    <s v="P. Prudente"/>
  </r>
  <r>
    <n v="320"/>
    <x v="102"/>
    <x v="4"/>
    <x v="6"/>
    <s v="P11"/>
    <x v="20"/>
    <s v="Masculino"/>
    <s v="Esporte"/>
    <s v="Nike"/>
    <s v="Geral"/>
    <n v="1"/>
    <s v="F1"/>
    <x v="0"/>
    <s v="Jardim São Bento"/>
    <x v="0"/>
    <s v="C13"/>
    <x v="21"/>
    <s v="Raio do Sol"/>
    <s v="P. Prudente"/>
  </r>
  <r>
    <n v="319"/>
    <x v="103"/>
    <x v="4"/>
    <x v="18"/>
    <s v="P10"/>
    <x v="21"/>
    <s v="Masculino"/>
    <s v="Esporte e Lazer"/>
    <s v="Nike"/>
    <s v="Geral"/>
    <n v="1"/>
    <s v="F9"/>
    <x v="1"/>
    <s v="Centro"/>
    <x v="1"/>
    <s v="C1"/>
    <x v="43"/>
    <s v="Centro"/>
    <s v="Alv. Machado"/>
  </r>
  <r>
    <n v="318"/>
    <x v="107"/>
    <x v="4"/>
    <x v="0"/>
    <s v="P9"/>
    <x v="0"/>
    <s v="Ambos"/>
    <s v="Lazer"/>
    <s v="Adidas"/>
    <s v="Geral"/>
    <n v="2"/>
    <s v="F1"/>
    <x v="0"/>
    <s v="Jardim São Bento"/>
    <x v="0"/>
    <s v="C38"/>
    <x v="4"/>
    <s v="Centro"/>
    <s v="P. Prudente"/>
  </r>
  <r>
    <n v="317"/>
    <x v="107"/>
    <x v="4"/>
    <x v="19"/>
    <s v="P8"/>
    <x v="1"/>
    <s v="Feminino"/>
    <s v="Esporte"/>
    <s v="Adidas"/>
    <s v="Musculaçao"/>
    <n v="3"/>
    <s v="F6"/>
    <x v="3"/>
    <s v="Vila Boa Vista"/>
    <x v="2"/>
    <s v="C7"/>
    <x v="23"/>
    <s v="Matadouro"/>
    <s v="P. Prudente"/>
  </r>
  <r>
    <n v="316"/>
    <x v="108"/>
    <x v="4"/>
    <x v="20"/>
    <s v="P7"/>
    <x v="2"/>
    <s v="Masculino"/>
    <s v="Esporte e Lazer"/>
    <s v="Adidas"/>
    <s v="Corrida"/>
    <n v="2"/>
    <s v="F5"/>
    <x v="8"/>
    <s v="Ana jacinta"/>
    <x v="0"/>
    <s v="C20"/>
    <x v="9"/>
    <s v="Bela Vista"/>
    <s v="P. Bernardes "/>
  </r>
  <r>
    <n v="315"/>
    <x v="109"/>
    <x v="4"/>
    <x v="20"/>
    <s v="P6"/>
    <x v="3"/>
    <s v="Masculino"/>
    <s v="Esporte e Lazer"/>
    <s v="Nike"/>
    <s v="Geral"/>
    <n v="1"/>
    <s v="F6"/>
    <x v="3"/>
    <s v="Vila Boa Vista"/>
    <x v="2"/>
    <s v="C32"/>
    <x v="11"/>
    <s v="Matadouro"/>
    <s v="P. Prudente"/>
  </r>
  <r>
    <n v="314"/>
    <x v="110"/>
    <x v="4"/>
    <x v="20"/>
    <s v="P5"/>
    <x v="4"/>
    <s v="Ambos"/>
    <s v="Esporte e Lazer"/>
    <s v="Nike"/>
    <s v="Geral"/>
    <n v="2"/>
    <s v="F7"/>
    <x v="5"/>
    <s v="Cecap"/>
    <x v="0"/>
    <s v="C15"/>
    <x v="0"/>
    <s v="Vila Paulista"/>
    <s v="P. Prudente"/>
  </r>
  <r>
    <n v="313"/>
    <x v="111"/>
    <x v="4"/>
    <x v="36"/>
    <s v="P4"/>
    <x v="5"/>
    <s v="Ambos"/>
    <s v="Corrida e Lazer"/>
    <s v="Nike"/>
    <s v="Geral"/>
    <n v="1"/>
    <s v="F6"/>
    <x v="3"/>
    <s v="Vila Boa Vista"/>
    <x v="2"/>
    <s v="C27"/>
    <x v="12"/>
    <s v="Centro"/>
    <s v="Alv.Machado"/>
  </r>
  <r>
    <n v="312"/>
    <x v="112"/>
    <x v="4"/>
    <x v="10"/>
    <s v="P3"/>
    <x v="6"/>
    <s v="Ambos"/>
    <s v="Musculaçao"/>
    <s v="Strongbrand"/>
    <s v="Musculaçao"/>
    <n v="3"/>
    <s v="F9"/>
    <x v="1"/>
    <s v="Centro"/>
    <x v="1"/>
    <s v="C22"/>
    <x v="13"/>
    <s v="Raio do Sol"/>
    <s v="P. Prudente"/>
  </r>
  <r>
    <n v="311"/>
    <x v="113"/>
    <x v="4"/>
    <x v="37"/>
    <s v="P2"/>
    <x v="7"/>
    <s v="Ambos"/>
    <s v="Musculaçao"/>
    <s v="Strongbrand"/>
    <s v="Musculaçao"/>
    <n v="3"/>
    <s v="F6"/>
    <x v="3"/>
    <s v="Vila Boa Vista"/>
    <x v="2"/>
    <s v="C46"/>
    <x v="31"/>
    <s v="Vila Barbeiro"/>
    <s v="P. Prudente"/>
  </r>
  <r>
    <n v="310"/>
    <x v="114"/>
    <x v="4"/>
    <x v="31"/>
    <s v="P1"/>
    <x v="8"/>
    <s v="Ambos"/>
    <s v="Musculaçao"/>
    <s v="Strongbrand"/>
    <s v="Musculaçao"/>
    <n v="3"/>
    <s v="F9"/>
    <x v="1"/>
    <s v="Centro"/>
    <x v="1"/>
    <s v="C18"/>
    <x v="41"/>
    <s v="Centro"/>
    <s v="Alv.Machado"/>
  </r>
  <r>
    <n v="309"/>
    <x v="115"/>
    <x v="4"/>
    <x v="8"/>
    <s v="P22"/>
    <x v="9"/>
    <s v="Ambos"/>
    <s v="Bicicletas"/>
    <s v="Caloi"/>
    <s v="Geral"/>
    <n v="1"/>
    <s v="F3"/>
    <x v="2"/>
    <s v="Vila Aurélio"/>
    <x v="1"/>
    <s v="C28"/>
    <x v="29"/>
    <s v="Raio do Sol"/>
    <s v="Martinopolis"/>
  </r>
  <r>
    <n v="308"/>
    <x v="116"/>
    <x v="4"/>
    <x v="9"/>
    <s v="P21"/>
    <x v="10"/>
    <s v="Ambos"/>
    <s v="Bicicletas"/>
    <s v="Caloi"/>
    <s v="Geral"/>
    <n v="1"/>
    <s v="F1"/>
    <x v="0"/>
    <s v="Jardim São Bento"/>
    <x v="0"/>
    <s v="C7"/>
    <x v="23"/>
    <s v="Matadouro"/>
    <s v="P. Prudente"/>
  </r>
  <r>
    <n v="307"/>
    <x v="117"/>
    <x v="4"/>
    <x v="5"/>
    <s v="P20"/>
    <x v="11"/>
    <s v="Ambos"/>
    <s v="Bermuda  "/>
    <s v="Puma"/>
    <s v="-"/>
    <n v="1"/>
    <s v="F3"/>
    <x v="2"/>
    <s v="Vila Aurélio"/>
    <x v="1"/>
    <s v="C46"/>
    <x v="31"/>
    <s v="Vila Barbeiro"/>
    <s v="P. Prudente"/>
  </r>
  <r>
    <n v="306"/>
    <x v="118"/>
    <x v="4"/>
    <x v="24"/>
    <s v="P19"/>
    <x v="12"/>
    <s v="Masculino"/>
    <s v="Camisas"/>
    <s v="Puma"/>
    <s v="Corrida e Lazer"/>
    <n v="3"/>
    <s v="F9"/>
    <x v="1"/>
    <s v="Centro"/>
    <x v="1"/>
    <s v="C33"/>
    <x v="36"/>
    <s v="Jardim Santa Clara"/>
    <s v="P. Prudente"/>
  </r>
  <r>
    <n v="305"/>
    <x v="119"/>
    <x v="4"/>
    <x v="33"/>
    <s v="P18"/>
    <x v="13"/>
    <s v="Ambos"/>
    <s v="Esporte e Lazer"/>
    <s v="Nike"/>
    <s v="Futebol"/>
    <n v="2"/>
    <s v="F1"/>
    <x v="0"/>
    <s v="Jardim São Bento"/>
    <x v="0"/>
    <s v="C10"/>
    <x v="20"/>
    <s v="Vila Paulista"/>
    <s v="P. Prudente"/>
  </r>
  <r>
    <n v="304"/>
    <x v="120"/>
    <x v="4"/>
    <x v="42"/>
    <s v="P17"/>
    <x v="14"/>
    <s v="Ambos"/>
    <s v="Esporte"/>
    <s v="NB"/>
    <s v="Academia"/>
    <n v="3"/>
    <s v="F7"/>
    <x v="5"/>
    <s v="Cecap"/>
    <x v="0"/>
    <s v="C11"/>
    <x v="16"/>
    <s v="Bela Vista"/>
    <s v="P. Prudente"/>
  </r>
  <r>
    <n v="303"/>
    <x v="121"/>
    <x v="4"/>
    <x v="41"/>
    <s v="P16"/>
    <x v="15"/>
    <s v="Masculino"/>
    <s v="Lazer e Casual"/>
    <s v="NB"/>
    <s v="-"/>
    <n v="2"/>
    <s v="F1"/>
    <x v="0"/>
    <s v="Jardim São Bento"/>
    <x v="0"/>
    <s v="C42"/>
    <x v="25"/>
    <s v="Jardim São Bento"/>
    <s v="P. Prudente"/>
  </r>
  <r>
    <n v="302"/>
    <x v="122"/>
    <x v="4"/>
    <x v="14"/>
    <s v="P15"/>
    <x v="16"/>
    <s v="Ambos"/>
    <s v="Casual"/>
    <s v="Nike"/>
    <s v="-"/>
    <n v="1"/>
    <s v="F7"/>
    <x v="5"/>
    <s v="Cecap"/>
    <x v="0"/>
    <s v="C20"/>
    <x v="9"/>
    <s v="Bela Vista"/>
    <s v="P. Bernardes "/>
  </r>
  <r>
    <n v="301"/>
    <x v="123"/>
    <x v="4"/>
    <x v="15"/>
    <s v="P14"/>
    <x v="17"/>
    <s v="Feminino"/>
    <s v="Casual"/>
    <s v="NB"/>
    <s v="-"/>
    <n v="3"/>
    <s v="F2"/>
    <x v="6"/>
    <s v="Jardim paulista"/>
    <x v="0"/>
    <s v="C46"/>
    <x v="31"/>
    <s v="Vila Barbeiro"/>
    <s v="P. Prudente"/>
  </r>
  <r>
    <n v="300"/>
    <x v="124"/>
    <x v="4"/>
    <x v="25"/>
    <s v="P13"/>
    <x v="18"/>
    <s v="Feminino"/>
    <s v="Corrida"/>
    <s v="NB"/>
    <s v="Corrida"/>
    <n v="3"/>
    <s v="F8"/>
    <x v="7"/>
    <s v="Brasil Novo"/>
    <x v="3"/>
    <s v="C22"/>
    <x v="13"/>
    <s v="Raio do Sol"/>
    <s v="P. Prudente"/>
  </r>
  <r>
    <n v="299"/>
    <x v="125"/>
    <x v="4"/>
    <x v="17"/>
    <s v="P12"/>
    <x v="19"/>
    <s v="Ambos"/>
    <s v="Corrida e Lazer"/>
    <s v="Nike"/>
    <s v="Corrida"/>
    <n v="1"/>
    <s v="F4"/>
    <x v="4"/>
    <s v="Jardim São Bento"/>
    <x v="0"/>
    <s v="C15"/>
    <x v="0"/>
    <s v="Vila Paulista"/>
    <s v="P. Prudente"/>
  </r>
  <r>
    <n v="298"/>
    <x v="126"/>
    <x v="4"/>
    <x v="6"/>
    <s v="P11"/>
    <x v="20"/>
    <s v="Masculino"/>
    <s v="Esporte"/>
    <s v="Nike"/>
    <s v="Geral"/>
    <n v="1"/>
    <s v="F1"/>
    <x v="0"/>
    <s v="Jardim São Bento"/>
    <x v="0"/>
    <s v="C41"/>
    <x v="15"/>
    <s v="Jardim Santana"/>
    <s v="P. Prudente"/>
  </r>
  <r>
    <n v="297"/>
    <x v="127"/>
    <x v="4"/>
    <x v="27"/>
    <s v="P10"/>
    <x v="21"/>
    <s v="Masculino"/>
    <s v="Esporte e Lazer"/>
    <s v="Nike"/>
    <s v="Geral"/>
    <n v="2"/>
    <s v="F1"/>
    <x v="0"/>
    <s v="Jardim São Bento"/>
    <x v="0"/>
    <s v="C17"/>
    <x v="47"/>
    <s v="Raio do Sol"/>
    <s v="Martinopolis"/>
  </r>
  <r>
    <n v="296"/>
    <x v="128"/>
    <x v="4"/>
    <x v="12"/>
    <s v="P9"/>
    <x v="0"/>
    <s v="Ambos"/>
    <s v="Lazer"/>
    <s v="Adidas"/>
    <s v="Geral"/>
    <n v="1"/>
    <s v="F7"/>
    <x v="5"/>
    <s v="Cecap"/>
    <x v="0"/>
    <s v="C11"/>
    <x v="16"/>
    <s v="Bela Vista"/>
    <s v="P. Prudente"/>
  </r>
  <r>
    <n v="295"/>
    <x v="104"/>
    <x v="4"/>
    <x v="28"/>
    <s v="P8"/>
    <x v="1"/>
    <s v="Feminino"/>
    <s v="Esporte"/>
    <s v="Adidas"/>
    <s v="Musculaçao"/>
    <n v="1"/>
    <s v="F4"/>
    <x v="4"/>
    <s v="Jardim São Bento"/>
    <x v="0"/>
    <s v="C5"/>
    <x v="6"/>
    <s v="Bela Vista"/>
    <s v="P. Prudente"/>
  </r>
  <r>
    <n v="294"/>
    <x v="105"/>
    <x v="4"/>
    <x v="2"/>
    <s v="P7"/>
    <x v="2"/>
    <s v="Masculino"/>
    <s v="Esporte e Lazer"/>
    <s v="Adidas"/>
    <s v="Corrida"/>
    <n v="1"/>
    <s v="F3"/>
    <x v="2"/>
    <s v="Vila Aurélio"/>
    <x v="1"/>
    <s v="C49"/>
    <x v="24"/>
    <s v="Vila Aurélio"/>
    <s v="P. Prudente"/>
  </r>
  <r>
    <n v="293"/>
    <x v="106"/>
    <x v="4"/>
    <x v="20"/>
    <s v="P6"/>
    <x v="3"/>
    <s v="Masculino"/>
    <s v="Esporte e Lazer"/>
    <s v="Nike"/>
    <s v="Geral"/>
    <n v="1"/>
    <s v="F3"/>
    <x v="2"/>
    <s v="Vila Aurélio"/>
    <x v="1"/>
    <s v="C15"/>
    <x v="0"/>
    <s v="Vila Paulista"/>
    <s v="P. Prudente"/>
  </r>
  <r>
    <n v="292"/>
    <x v="100"/>
    <x v="4"/>
    <x v="0"/>
    <s v="P5"/>
    <x v="4"/>
    <s v="Ambos"/>
    <s v="Esporte e Lazer"/>
    <s v="Nike"/>
    <s v="Geral"/>
    <n v="3"/>
    <s v="F1"/>
    <x v="0"/>
    <s v="Jardim São Bento"/>
    <x v="0"/>
    <s v="C45"/>
    <x v="26"/>
    <s v="Vila Aurélio"/>
    <s v="P. Prudente"/>
  </r>
  <r>
    <n v="291"/>
    <x v="101"/>
    <x v="4"/>
    <x v="36"/>
    <s v="P4"/>
    <x v="5"/>
    <s v="Ambos"/>
    <s v="Corrida e Lazer"/>
    <s v="Nike"/>
    <s v="Geral"/>
    <n v="1"/>
    <s v="F6"/>
    <x v="3"/>
    <s v="Vila Boa Vista"/>
    <x v="2"/>
    <s v="C4"/>
    <x v="46"/>
    <s v="Centro"/>
    <s v="P. Bernardes "/>
  </r>
  <r>
    <n v="290"/>
    <x v="102"/>
    <x v="4"/>
    <x v="29"/>
    <s v="P3"/>
    <x v="6"/>
    <s v="Ambos"/>
    <s v="Musculaçao"/>
    <s v="Strongbrand"/>
    <s v="Musculaçao"/>
    <n v="1"/>
    <s v="F6"/>
    <x v="3"/>
    <s v="Vila Boa Vista"/>
    <x v="2"/>
    <s v="C48"/>
    <x v="40"/>
    <s v="Vila Boa Vista"/>
    <s v="P. Prudente"/>
  </r>
  <r>
    <n v="289"/>
    <x v="103"/>
    <x v="4"/>
    <x v="37"/>
    <s v="P2"/>
    <x v="7"/>
    <s v="Ambos"/>
    <s v="Musculaçao"/>
    <s v="Strongbrand"/>
    <s v="Musculaçao"/>
    <n v="3"/>
    <s v="F2"/>
    <x v="6"/>
    <s v="Jardim paulista"/>
    <x v="0"/>
    <s v="C12"/>
    <x v="19"/>
    <s v="Bela Vista"/>
    <s v="Alv.Machado"/>
  </r>
  <r>
    <n v="288"/>
    <x v="107"/>
    <x v="4"/>
    <x v="31"/>
    <s v="P1"/>
    <x v="8"/>
    <s v="Ambos"/>
    <s v="Musculaçao"/>
    <s v="Strongbrand"/>
    <s v="Musculaçao"/>
    <n v="3"/>
    <s v="F1"/>
    <x v="0"/>
    <s v="Jardim São Bento"/>
    <x v="0"/>
    <s v="C40"/>
    <x v="37"/>
    <s v="Jardim Santa Paula"/>
    <s v="P. Prudente"/>
  </r>
  <r>
    <n v="287"/>
    <x v="129"/>
    <x v="5"/>
    <x v="4"/>
    <s v="P14"/>
    <x v="17"/>
    <s v="Feminino"/>
    <s v="Casual"/>
    <s v="NB"/>
    <s v="-"/>
    <n v="1"/>
    <s v="F4"/>
    <x v="4"/>
    <s v="Jardim São Bento"/>
    <x v="0"/>
    <s v="C48"/>
    <x v="40"/>
    <s v="Vila Boa Vista"/>
    <s v="P. Prudente"/>
  </r>
  <r>
    <n v="286"/>
    <x v="130"/>
    <x v="5"/>
    <x v="25"/>
    <s v="P13"/>
    <x v="18"/>
    <s v="Feminino"/>
    <s v="Corrida"/>
    <s v="NB"/>
    <s v="Corrida"/>
    <n v="3"/>
    <s v="F5"/>
    <x v="8"/>
    <s v="Ana jacinta"/>
    <x v="0"/>
    <s v="C32"/>
    <x v="11"/>
    <s v="Matadouro"/>
    <s v="P. Prudente"/>
  </r>
  <r>
    <n v="285"/>
    <x v="131"/>
    <x v="5"/>
    <x v="10"/>
    <s v="P12"/>
    <x v="19"/>
    <s v="Ambos"/>
    <s v="Corrida e Lazer"/>
    <s v="Nike"/>
    <s v="Corrida"/>
    <n v="2"/>
    <s v="F3"/>
    <x v="2"/>
    <s v="Vila Aurélio"/>
    <x v="1"/>
    <s v="C8"/>
    <x v="39"/>
    <s v="Centro"/>
    <s v="Martinopolis"/>
  </r>
  <r>
    <n v="284"/>
    <x v="132"/>
    <x v="5"/>
    <x v="6"/>
    <s v="P11"/>
    <x v="20"/>
    <s v="Masculino"/>
    <s v="Esporte"/>
    <s v="Nike"/>
    <s v="Geral"/>
    <n v="1"/>
    <s v="F5"/>
    <x v="8"/>
    <s v="Ana jacinta"/>
    <x v="0"/>
    <s v="C37"/>
    <x v="27"/>
    <s v="Cecap"/>
    <s v="P. Prudente"/>
  </r>
  <r>
    <n v="283"/>
    <x v="133"/>
    <x v="5"/>
    <x v="44"/>
    <s v="P10"/>
    <x v="21"/>
    <s v="Masculino"/>
    <s v="Esporte e Lazer"/>
    <s v="Nike"/>
    <s v="Geral"/>
    <n v="3"/>
    <s v="F9"/>
    <x v="1"/>
    <s v="Centro"/>
    <x v="1"/>
    <s v="C9"/>
    <x v="32"/>
    <s v="São Lucas"/>
    <s v="P. Bernardes "/>
  </r>
  <r>
    <n v="282"/>
    <x v="134"/>
    <x v="5"/>
    <x v="12"/>
    <s v="P9"/>
    <x v="0"/>
    <s v="Ambos"/>
    <s v="Lazer"/>
    <s v="Adidas"/>
    <s v="Geral"/>
    <n v="1"/>
    <s v="F8"/>
    <x v="7"/>
    <s v="Brasil Novo"/>
    <x v="3"/>
    <s v="C42"/>
    <x v="25"/>
    <s v="Jardim São Bento"/>
    <s v="P. Prudente"/>
  </r>
  <r>
    <n v="281"/>
    <x v="135"/>
    <x v="5"/>
    <x v="19"/>
    <s v="P8"/>
    <x v="1"/>
    <s v="Feminino"/>
    <s v="Esporte"/>
    <s v="Adidas"/>
    <s v="Musculaçao"/>
    <n v="3"/>
    <s v="F1"/>
    <x v="0"/>
    <s v="Jardim São Bento"/>
    <x v="0"/>
    <s v="C40"/>
    <x v="37"/>
    <s v="Jardim Santa Paula"/>
    <s v="P. Prudente"/>
  </r>
  <r>
    <n v="280"/>
    <x v="129"/>
    <x v="5"/>
    <x v="20"/>
    <s v="P7"/>
    <x v="2"/>
    <s v="Masculino"/>
    <s v="Esporte e Lazer"/>
    <s v="Adidas"/>
    <s v="Corrida"/>
    <n v="2"/>
    <s v="F2"/>
    <x v="6"/>
    <s v="Jardim paulista"/>
    <x v="0"/>
    <s v="C20"/>
    <x v="9"/>
    <s v="Bela Vista"/>
    <s v="P. Bernardes "/>
  </r>
  <r>
    <n v="279"/>
    <x v="130"/>
    <x v="5"/>
    <x v="8"/>
    <s v="P6"/>
    <x v="3"/>
    <s v="Masculino"/>
    <s v="Esporte e Lazer"/>
    <s v="Nike"/>
    <s v="Geral"/>
    <n v="2"/>
    <s v="F6"/>
    <x v="3"/>
    <s v="Vila Boa Vista"/>
    <x v="2"/>
    <s v="C14"/>
    <x v="28"/>
    <s v="São Lucas"/>
    <s v="P. Bernardes "/>
  </r>
  <r>
    <n v="278"/>
    <x v="131"/>
    <x v="5"/>
    <x v="2"/>
    <s v="P5"/>
    <x v="4"/>
    <s v="Ambos"/>
    <s v="Esporte e Lazer"/>
    <s v="Nike"/>
    <s v="Geral"/>
    <n v="1"/>
    <s v="F4"/>
    <x v="4"/>
    <s v="Jardim São Bento"/>
    <x v="0"/>
    <s v="C1"/>
    <x v="43"/>
    <s v="Centro"/>
    <s v="Alv. Machado"/>
  </r>
  <r>
    <n v="277"/>
    <x v="132"/>
    <x v="5"/>
    <x v="4"/>
    <s v="P4"/>
    <x v="5"/>
    <s v="Ambos"/>
    <s v="Corrida e Lazer"/>
    <s v="Nike"/>
    <s v="Geral"/>
    <n v="2"/>
    <s v="F2"/>
    <x v="6"/>
    <s v="Jardim paulista"/>
    <x v="0"/>
    <s v="C38"/>
    <x v="4"/>
    <s v="Centro"/>
    <s v="P. Prudente"/>
  </r>
  <r>
    <n v="276"/>
    <x v="133"/>
    <x v="5"/>
    <x v="10"/>
    <s v="P3"/>
    <x v="6"/>
    <s v="Ambos"/>
    <s v="Musculaçao"/>
    <s v="Strongbrand"/>
    <s v="Musculaçao"/>
    <n v="3"/>
    <s v="F6"/>
    <x v="3"/>
    <s v="Vila Boa Vista"/>
    <x v="2"/>
    <s v="C4"/>
    <x v="46"/>
    <s v="Centro"/>
    <s v="P. Bernardes "/>
  </r>
  <r>
    <n v="275"/>
    <x v="134"/>
    <x v="5"/>
    <x v="6"/>
    <s v="P2"/>
    <x v="7"/>
    <s v="Ambos"/>
    <s v="Musculaçao"/>
    <s v="Strongbrand"/>
    <s v="Musculaçao"/>
    <n v="2"/>
    <s v="F6"/>
    <x v="3"/>
    <s v="Vila Boa Vista"/>
    <x v="2"/>
    <s v="C3"/>
    <x v="22"/>
    <s v="Raio do Sol"/>
    <s v="P. Prudente"/>
  </r>
  <r>
    <n v="274"/>
    <x v="135"/>
    <x v="5"/>
    <x v="17"/>
    <s v="P1"/>
    <x v="8"/>
    <s v="Ambos"/>
    <s v="Musculaçao"/>
    <s v="Strongbrand"/>
    <s v="Musculaçao"/>
    <n v="2"/>
    <s v="F1"/>
    <x v="0"/>
    <s v="Jardim São Bento"/>
    <x v="0"/>
    <s v="C35"/>
    <x v="34"/>
    <s v="Bosque Itaju"/>
    <s v="P. Prudente"/>
  </r>
  <r>
    <n v="273"/>
    <x v="136"/>
    <x v="5"/>
    <x v="8"/>
    <s v="P22"/>
    <x v="9"/>
    <s v="Ambos"/>
    <s v="Bicicletas"/>
    <s v="Caloi"/>
    <s v="Geral"/>
    <n v="1"/>
    <s v="F1"/>
    <x v="0"/>
    <s v="Jardim São Bento"/>
    <x v="0"/>
    <s v="C25"/>
    <x v="14"/>
    <s v="São Lucas"/>
    <s v="P. Bernardes "/>
  </r>
  <r>
    <n v="272"/>
    <x v="137"/>
    <x v="5"/>
    <x v="22"/>
    <s v="P21"/>
    <x v="10"/>
    <s v="Ambos"/>
    <s v="Bicicletas"/>
    <s v="Caloi"/>
    <s v="Geral"/>
    <n v="2"/>
    <s v="F7"/>
    <x v="5"/>
    <s v="Cecap"/>
    <x v="0"/>
    <s v="C34"/>
    <x v="44"/>
    <s v="Jardim Santa Elisa"/>
    <s v="P. Prudente"/>
  </r>
  <r>
    <n v="271"/>
    <x v="138"/>
    <x v="5"/>
    <x v="5"/>
    <s v="P20"/>
    <x v="11"/>
    <s v="Ambos"/>
    <s v="Bermuda  "/>
    <s v="Puma"/>
    <s v="-"/>
    <n v="1"/>
    <s v="F5"/>
    <x v="8"/>
    <s v="Ana jacinta"/>
    <x v="0"/>
    <s v="C8"/>
    <x v="39"/>
    <s v="Centro"/>
    <s v="Martinopolis"/>
  </r>
  <r>
    <n v="270"/>
    <x v="139"/>
    <x v="5"/>
    <x v="24"/>
    <s v="P19"/>
    <x v="12"/>
    <s v="Masculino"/>
    <s v="Camisas"/>
    <s v="Puma"/>
    <s v="Corrida e Lazer"/>
    <n v="3"/>
    <s v="F3"/>
    <x v="2"/>
    <s v="Vila Aurélio"/>
    <x v="1"/>
    <s v="C20"/>
    <x v="9"/>
    <s v="Bela Vista"/>
    <s v="P. Bernardes "/>
  </r>
  <r>
    <n v="269"/>
    <x v="140"/>
    <x v="5"/>
    <x v="40"/>
    <s v="P18"/>
    <x v="13"/>
    <s v="Ambos"/>
    <s v="Esporte e Lazer"/>
    <s v="Nike"/>
    <s v="Futebol"/>
    <n v="3"/>
    <s v="F7"/>
    <x v="5"/>
    <s v="Cecap"/>
    <x v="0"/>
    <s v="C41"/>
    <x v="15"/>
    <s v="Jardim Santana"/>
    <s v="P. Prudente"/>
  </r>
  <r>
    <n v="268"/>
    <x v="141"/>
    <x v="5"/>
    <x v="40"/>
    <s v="P17"/>
    <x v="14"/>
    <s v="Ambos"/>
    <s v="Esporte"/>
    <s v="NB"/>
    <s v="Academia"/>
    <n v="1"/>
    <s v="F4"/>
    <x v="4"/>
    <s v="Jardim São Bento"/>
    <x v="0"/>
    <s v="C4"/>
    <x v="46"/>
    <s v="Centro"/>
    <s v="P. Bernardes "/>
  </r>
  <r>
    <n v="267"/>
    <x v="142"/>
    <x v="5"/>
    <x v="45"/>
    <s v="P16"/>
    <x v="15"/>
    <s v="Masculino"/>
    <s v="Lazer e Casual"/>
    <s v="NB"/>
    <s v="-"/>
    <n v="3"/>
    <s v="F7"/>
    <x v="5"/>
    <s v="Cecap"/>
    <x v="0"/>
    <s v="C31"/>
    <x v="18"/>
    <s v="Bela Vista"/>
    <s v="P. Bernardes "/>
  </r>
  <r>
    <n v="266"/>
    <x v="143"/>
    <x v="5"/>
    <x v="46"/>
    <s v="P15"/>
    <x v="16"/>
    <s v="Ambos"/>
    <s v="Casual"/>
    <s v="Nike"/>
    <s v="-"/>
    <n v="2"/>
    <s v="F2"/>
    <x v="6"/>
    <s v="Jardim paulista"/>
    <x v="0"/>
    <s v="C20"/>
    <x v="9"/>
    <s v="Bela Vista"/>
    <s v="P. Bernardes "/>
  </r>
  <r>
    <n v="265"/>
    <x v="144"/>
    <x v="5"/>
    <x v="4"/>
    <s v="P14"/>
    <x v="17"/>
    <s v="Feminino"/>
    <s v="Casual"/>
    <s v="NB"/>
    <s v="-"/>
    <n v="1"/>
    <s v="F3"/>
    <x v="2"/>
    <s v="Vila Aurélio"/>
    <x v="1"/>
    <s v="C19"/>
    <x v="33"/>
    <s v="São José"/>
    <s v="P. Prudente"/>
  </r>
  <r>
    <n v="264"/>
    <x v="145"/>
    <x v="5"/>
    <x v="16"/>
    <s v="P13"/>
    <x v="18"/>
    <s v="Feminino"/>
    <s v="Corrida"/>
    <s v="NB"/>
    <s v="Corrida"/>
    <n v="2"/>
    <s v="F6"/>
    <x v="3"/>
    <s v="Vila Boa Vista"/>
    <x v="2"/>
    <s v="C19"/>
    <x v="33"/>
    <s v="São José"/>
    <s v="P. Prudente"/>
  </r>
  <r>
    <n v="263"/>
    <x v="146"/>
    <x v="5"/>
    <x v="17"/>
    <s v="P12"/>
    <x v="19"/>
    <s v="Ambos"/>
    <s v="Corrida e Lazer"/>
    <s v="Nike"/>
    <s v="Corrida"/>
    <n v="1"/>
    <s v="F6"/>
    <x v="3"/>
    <s v="Vila Boa Vista"/>
    <x v="2"/>
    <s v="C27"/>
    <x v="12"/>
    <s v="Centro"/>
    <s v="Alv.Machado"/>
  </r>
  <r>
    <n v="262"/>
    <x v="147"/>
    <x v="5"/>
    <x v="26"/>
    <s v="P11"/>
    <x v="20"/>
    <s v="Masculino"/>
    <s v="Esporte"/>
    <s v="Nike"/>
    <s v="Geral"/>
    <n v="2"/>
    <s v="F5"/>
    <x v="8"/>
    <s v="Ana jacinta"/>
    <x v="0"/>
    <s v="C19"/>
    <x v="33"/>
    <s v="São José"/>
    <s v="P. Prudente"/>
  </r>
  <r>
    <n v="261"/>
    <x v="148"/>
    <x v="5"/>
    <x v="27"/>
    <s v="P10"/>
    <x v="21"/>
    <s v="Masculino"/>
    <s v="Esporte e Lazer"/>
    <s v="Nike"/>
    <s v="Geral"/>
    <n v="2"/>
    <s v="F4"/>
    <x v="4"/>
    <s v="Jardim São Bento"/>
    <x v="0"/>
    <s v="C39"/>
    <x v="48"/>
    <s v="Jardim Santa Olga"/>
    <s v="P. Prudente"/>
  </r>
  <r>
    <n v="260"/>
    <x v="149"/>
    <x v="5"/>
    <x v="16"/>
    <s v="P9"/>
    <x v="0"/>
    <s v="Ambos"/>
    <s v="Lazer"/>
    <s v="Adidas"/>
    <s v="Geral"/>
    <n v="3"/>
    <s v="F6"/>
    <x v="3"/>
    <s v="Vila Boa Vista"/>
    <x v="2"/>
    <s v="C33"/>
    <x v="36"/>
    <s v="Jardim Santa Clara"/>
    <s v="P. Prudente"/>
  </r>
  <r>
    <n v="259"/>
    <x v="150"/>
    <x v="5"/>
    <x v="19"/>
    <s v="P8"/>
    <x v="1"/>
    <s v="Feminino"/>
    <s v="Esporte"/>
    <s v="Adidas"/>
    <s v="Musculaçao"/>
    <n v="3"/>
    <s v="F8"/>
    <x v="7"/>
    <s v="Brasil Novo"/>
    <x v="3"/>
    <s v="C1"/>
    <x v="43"/>
    <s v="Centro"/>
    <s v="Alv. Machado"/>
  </r>
  <r>
    <n v="258"/>
    <x v="151"/>
    <x v="5"/>
    <x v="20"/>
    <s v="P7"/>
    <x v="2"/>
    <s v="Masculino"/>
    <s v="Esporte e Lazer"/>
    <s v="Adidas"/>
    <s v="Corrida"/>
    <n v="2"/>
    <s v="F6"/>
    <x v="3"/>
    <s v="Vila Boa Vista"/>
    <x v="2"/>
    <s v="C17"/>
    <x v="47"/>
    <s v="Raio do Sol"/>
    <s v="Martinopolis"/>
  </r>
  <r>
    <n v="257"/>
    <x v="152"/>
    <x v="5"/>
    <x v="20"/>
    <s v="P6"/>
    <x v="3"/>
    <s v="Masculino"/>
    <s v="Esporte e Lazer"/>
    <s v="Nike"/>
    <s v="Geral"/>
    <n v="1"/>
    <s v="F3"/>
    <x v="2"/>
    <s v="Vila Aurélio"/>
    <x v="1"/>
    <s v="C9"/>
    <x v="32"/>
    <s v="São Lucas"/>
    <s v="P. Bernardes "/>
  </r>
  <r>
    <n v="256"/>
    <x v="153"/>
    <x v="5"/>
    <x v="0"/>
    <s v="P5"/>
    <x v="4"/>
    <s v="Ambos"/>
    <s v="Esporte e Lazer"/>
    <s v="Nike"/>
    <s v="Geral"/>
    <n v="3"/>
    <s v="F8"/>
    <x v="7"/>
    <s v="Brasil Novo"/>
    <x v="3"/>
    <s v="C43"/>
    <x v="49"/>
    <s v="Rua Catarina Mungo Pisssulin, 245"/>
    <s v="P. Prudente"/>
  </r>
  <r>
    <n v="255"/>
    <x v="154"/>
    <x v="5"/>
    <x v="21"/>
    <s v="P4"/>
    <x v="5"/>
    <s v="Ambos"/>
    <s v="Corrida e Lazer"/>
    <s v="Nike"/>
    <s v="Geral"/>
    <n v="3"/>
    <s v="F3"/>
    <x v="2"/>
    <s v="Vila Aurélio"/>
    <x v="1"/>
    <s v="C36"/>
    <x v="38"/>
    <s v="Brasil Novo"/>
    <s v="P. Bernades"/>
  </r>
  <r>
    <n v="254"/>
    <x v="155"/>
    <x v="5"/>
    <x v="10"/>
    <s v="P3"/>
    <x v="6"/>
    <s v="Ambos"/>
    <s v="Musculaçao"/>
    <s v="Strongbrand"/>
    <s v="Musculaçao"/>
    <n v="3"/>
    <s v="F6"/>
    <x v="3"/>
    <s v="Vila Boa Vista"/>
    <x v="2"/>
    <s v="C32"/>
    <x v="11"/>
    <s v="Matadouro"/>
    <s v="P. Prudente"/>
  </r>
  <r>
    <n v="253"/>
    <x v="156"/>
    <x v="5"/>
    <x v="30"/>
    <s v="P2"/>
    <x v="7"/>
    <s v="Ambos"/>
    <s v="Musculaçao"/>
    <s v="Strongbrand"/>
    <s v="Musculaçao"/>
    <n v="1"/>
    <s v="F7"/>
    <x v="5"/>
    <s v="Cecap"/>
    <x v="0"/>
    <s v="C34"/>
    <x v="44"/>
    <s v="Jardim Santa Elisa"/>
    <s v="P. Prudente"/>
  </r>
  <r>
    <n v="252"/>
    <x v="157"/>
    <x v="5"/>
    <x v="7"/>
    <s v="P1"/>
    <x v="8"/>
    <s v="Ambos"/>
    <s v="Musculaçao"/>
    <s v="Strongbrand"/>
    <s v="Musculaçao"/>
    <n v="1"/>
    <s v="F4"/>
    <x v="4"/>
    <s v="Jardim São Bento"/>
    <x v="0"/>
    <s v="C49"/>
    <x v="24"/>
    <s v="Vila Aurélio"/>
    <s v="P. Prudente"/>
  </r>
  <r>
    <n v="251"/>
    <x v="158"/>
    <x v="6"/>
    <x v="24"/>
    <s v="P19"/>
    <x v="12"/>
    <s v="Masculino"/>
    <s v="Camisas"/>
    <s v="Puma"/>
    <s v="Corrida e Lazer"/>
    <n v="3"/>
    <s v="F6"/>
    <x v="3"/>
    <s v="Vila Boa Vista"/>
    <x v="2"/>
    <s v="C16"/>
    <x v="3"/>
    <s v="Centro"/>
    <s v="Alv.Machado"/>
  </r>
  <r>
    <n v="250"/>
    <x v="159"/>
    <x v="6"/>
    <x v="40"/>
    <s v="P18"/>
    <x v="13"/>
    <s v="Ambos"/>
    <s v="Esporte e Lazer"/>
    <s v="Nike"/>
    <s v="Futebol"/>
    <n v="3"/>
    <s v="F7"/>
    <x v="5"/>
    <s v="Cecap"/>
    <x v="0"/>
    <s v="C1"/>
    <x v="43"/>
    <s v="Centro"/>
    <s v="Alv. Machado"/>
  </r>
  <r>
    <n v="249"/>
    <x v="160"/>
    <x v="6"/>
    <x v="40"/>
    <s v="P17"/>
    <x v="14"/>
    <s v="Ambos"/>
    <s v="Esporte"/>
    <s v="NB"/>
    <s v="Academia"/>
    <n v="1"/>
    <s v="F3"/>
    <x v="2"/>
    <s v="Vila Aurélio"/>
    <x v="1"/>
    <s v="C16"/>
    <x v="3"/>
    <s v="Centro"/>
    <s v="Alv.Machado"/>
  </r>
  <r>
    <n v="248"/>
    <x v="161"/>
    <x v="6"/>
    <x v="41"/>
    <s v="P16"/>
    <x v="15"/>
    <s v="Masculino"/>
    <s v="Lazer e Casual"/>
    <s v="NB"/>
    <s v="-"/>
    <n v="2"/>
    <s v="F2"/>
    <x v="6"/>
    <s v="Jardim paulista"/>
    <x v="0"/>
    <s v="C37"/>
    <x v="27"/>
    <s v="Cecap"/>
    <s v="P. Prudente"/>
  </r>
  <r>
    <n v="247"/>
    <x v="162"/>
    <x v="6"/>
    <x v="46"/>
    <s v="P15"/>
    <x v="16"/>
    <s v="Ambos"/>
    <s v="Casual"/>
    <s v="Nike"/>
    <s v="-"/>
    <n v="2"/>
    <s v="F7"/>
    <x v="5"/>
    <s v="Cecap"/>
    <x v="0"/>
    <s v="C19"/>
    <x v="33"/>
    <s v="São José"/>
    <s v="P. Prudente"/>
  </r>
  <r>
    <n v="246"/>
    <x v="163"/>
    <x v="6"/>
    <x v="15"/>
    <s v="P14"/>
    <x v="17"/>
    <s v="Feminino"/>
    <s v="Casual"/>
    <s v="NB"/>
    <s v="-"/>
    <n v="3"/>
    <s v="F1"/>
    <x v="0"/>
    <s v="Jardim São Bento"/>
    <x v="0"/>
    <s v="C42"/>
    <x v="25"/>
    <s v="Jardim São Bento"/>
    <s v="P. Prudente"/>
  </r>
  <r>
    <n v="245"/>
    <x v="164"/>
    <x v="6"/>
    <x v="25"/>
    <s v="P13"/>
    <x v="18"/>
    <s v="Feminino"/>
    <s v="Corrida"/>
    <s v="NB"/>
    <s v="Corrida"/>
    <n v="3"/>
    <s v="F7"/>
    <x v="5"/>
    <s v="Cecap"/>
    <x v="0"/>
    <s v="C26"/>
    <x v="42"/>
    <s v="Matadouro"/>
    <s v="P. Prudente"/>
  </r>
  <r>
    <n v="244"/>
    <x v="165"/>
    <x v="6"/>
    <x v="17"/>
    <s v="P12"/>
    <x v="19"/>
    <s v="Ambos"/>
    <s v="Corrida e Lazer"/>
    <s v="Nike"/>
    <s v="Corrida"/>
    <n v="1"/>
    <s v="F5"/>
    <x v="8"/>
    <s v="Ana jacinta"/>
    <x v="0"/>
    <s v="C15"/>
    <x v="0"/>
    <s v="Vila Paulista"/>
    <s v="P. Prudente"/>
  </r>
  <r>
    <n v="243"/>
    <x v="158"/>
    <x v="6"/>
    <x v="26"/>
    <s v="P11"/>
    <x v="20"/>
    <s v="Masculino"/>
    <s v="Esporte"/>
    <s v="Nike"/>
    <s v="Geral"/>
    <n v="2"/>
    <s v="F9"/>
    <x v="1"/>
    <s v="Centro"/>
    <x v="1"/>
    <s v="C44"/>
    <x v="30"/>
    <s v="Vila Áurea"/>
    <s v="P. Prudente"/>
  </r>
  <r>
    <n v="242"/>
    <x v="159"/>
    <x v="6"/>
    <x v="18"/>
    <s v="P10"/>
    <x v="21"/>
    <s v="Masculino"/>
    <s v="Esporte e Lazer"/>
    <s v="Nike"/>
    <s v="Geral"/>
    <n v="1"/>
    <s v="F1"/>
    <x v="0"/>
    <s v="Jardim São Bento"/>
    <x v="0"/>
    <s v="C8"/>
    <x v="39"/>
    <s v="Centro"/>
    <s v="Martinopolis"/>
  </r>
  <r>
    <n v="241"/>
    <x v="160"/>
    <x v="6"/>
    <x v="0"/>
    <s v="P9"/>
    <x v="0"/>
    <s v="Ambos"/>
    <s v="Lazer"/>
    <s v="Adidas"/>
    <s v="Geral"/>
    <n v="2"/>
    <s v="F6"/>
    <x v="3"/>
    <s v="Vila Boa Vista"/>
    <x v="2"/>
    <s v="C43"/>
    <x v="49"/>
    <s v="Rua Catarina Mungo Pisssulin, 245"/>
    <s v="P. Prudente"/>
  </r>
  <r>
    <n v="240"/>
    <x v="161"/>
    <x v="6"/>
    <x v="1"/>
    <s v="P8"/>
    <x v="1"/>
    <s v="Feminino"/>
    <s v="Esporte"/>
    <s v="Adidas"/>
    <s v="Musculaçao"/>
    <n v="2"/>
    <s v="F5"/>
    <x v="8"/>
    <s v="Ana jacinta"/>
    <x v="0"/>
    <s v="C15"/>
    <x v="0"/>
    <s v="Vila Paulista"/>
    <s v="P. Prudente"/>
  </r>
  <r>
    <n v="239"/>
    <x v="166"/>
    <x v="6"/>
    <x v="2"/>
    <s v="P7"/>
    <x v="2"/>
    <s v="Masculino"/>
    <s v="Esporte e Lazer"/>
    <s v="Adidas"/>
    <s v="Corrida"/>
    <n v="1"/>
    <s v="F2"/>
    <x v="6"/>
    <s v="Jardim paulista"/>
    <x v="0"/>
    <s v="C15"/>
    <x v="0"/>
    <s v="Vila Paulista"/>
    <s v="P. Prudente"/>
  </r>
  <r>
    <n v="238"/>
    <x v="167"/>
    <x v="6"/>
    <x v="8"/>
    <s v="P6"/>
    <x v="3"/>
    <s v="Masculino"/>
    <s v="Esporte e Lazer"/>
    <s v="Nike"/>
    <s v="Geral"/>
    <n v="2"/>
    <s v="F5"/>
    <x v="8"/>
    <s v="Ana jacinta"/>
    <x v="0"/>
    <s v="C26"/>
    <x v="42"/>
    <s v="Matadouro"/>
    <s v="P. Prudente"/>
  </r>
  <r>
    <n v="237"/>
    <x v="168"/>
    <x v="6"/>
    <x v="20"/>
    <s v="P5"/>
    <x v="4"/>
    <s v="Ambos"/>
    <s v="Esporte e Lazer"/>
    <s v="Nike"/>
    <s v="Geral"/>
    <n v="2"/>
    <s v="F9"/>
    <x v="1"/>
    <s v="Centro"/>
    <x v="1"/>
    <s v="C9"/>
    <x v="32"/>
    <s v="São Lucas"/>
    <s v="P. Bernardes "/>
  </r>
  <r>
    <n v="236"/>
    <x v="169"/>
    <x v="6"/>
    <x v="21"/>
    <s v="P4"/>
    <x v="5"/>
    <s v="Ambos"/>
    <s v="Corrida e Lazer"/>
    <s v="Nike"/>
    <s v="Geral"/>
    <n v="3"/>
    <s v="F1"/>
    <x v="0"/>
    <s v="Jardim São Bento"/>
    <x v="0"/>
    <s v="C9"/>
    <x v="32"/>
    <s v="São Lucas"/>
    <s v="P. Bernardes "/>
  </r>
  <r>
    <n v="235"/>
    <x v="170"/>
    <x v="6"/>
    <x v="5"/>
    <s v="P3"/>
    <x v="6"/>
    <s v="Ambos"/>
    <s v="Musculaçao"/>
    <s v="Strongbrand"/>
    <s v="Musculaçao"/>
    <n v="2"/>
    <s v="F2"/>
    <x v="6"/>
    <s v="Jardim paulista"/>
    <x v="0"/>
    <s v="C1"/>
    <x v="43"/>
    <s v="Centro"/>
    <s v="Alv. Machado"/>
  </r>
  <r>
    <n v="234"/>
    <x v="171"/>
    <x v="6"/>
    <x v="30"/>
    <s v="P2"/>
    <x v="7"/>
    <s v="Ambos"/>
    <s v="Musculaçao"/>
    <s v="Strongbrand"/>
    <s v="Musculaçao"/>
    <n v="1"/>
    <s v="F3"/>
    <x v="2"/>
    <s v="Vila Aurélio"/>
    <x v="1"/>
    <s v="C49"/>
    <x v="24"/>
    <s v="Vila Aurélio"/>
    <s v="P. Prudente"/>
  </r>
  <r>
    <n v="233"/>
    <x v="172"/>
    <x v="6"/>
    <x v="31"/>
    <s v="P1"/>
    <x v="8"/>
    <s v="Ambos"/>
    <s v="Musculaçao"/>
    <s v="Strongbrand"/>
    <s v="Musculaçao"/>
    <n v="3"/>
    <s v="F3"/>
    <x v="2"/>
    <s v="Vila Aurélio"/>
    <x v="1"/>
    <s v="C3"/>
    <x v="22"/>
    <s v="Raio do Sol"/>
    <s v="P. Prudente"/>
  </r>
  <r>
    <n v="232"/>
    <x v="173"/>
    <x v="6"/>
    <x v="8"/>
    <s v="P22"/>
    <x v="9"/>
    <s v="Ambos"/>
    <s v="Bicicletas"/>
    <s v="Caloi"/>
    <s v="Geral"/>
    <n v="1"/>
    <s v="F9"/>
    <x v="1"/>
    <s v="Centro"/>
    <x v="1"/>
    <s v="C47"/>
    <x v="10"/>
    <s v="Vila Boa Vista"/>
    <s v="P. Prudente"/>
  </r>
  <r>
    <n v="231"/>
    <x v="174"/>
    <x v="6"/>
    <x v="22"/>
    <s v="P21"/>
    <x v="10"/>
    <s v="Ambos"/>
    <s v="Bicicletas"/>
    <s v="Caloi"/>
    <s v="Geral"/>
    <n v="2"/>
    <s v="F6"/>
    <x v="3"/>
    <s v="Vila Boa Vista"/>
    <x v="2"/>
    <s v="C46"/>
    <x v="31"/>
    <s v="Vila Barbeiro"/>
    <s v="P. Prudente"/>
  </r>
  <r>
    <n v="230"/>
    <x v="175"/>
    <x v="6"/>
    <x v="5"/>
    <s v="P20"/>
    <x v="11"/>
    <s v="Ambos"/>
    <s v="Bermuda  "/>
    <s v="Puma"/>
    <s v="-"/>
    <n v="1"/>
    <s v="F8"/>
    <x v="7"/>
    <s v="Brasil Novo"/>
    <x v="3"/>
    <s v="C4"/>
    <x v="46"/>
    <s v="Centro"/>
    <s v="P. Bernardes "/>
  </r>
  <r>
    <n v="229"/>
    <x v="176"/>
    <x v="6"/>
    <x v="10"/>
    <s v="P19"/>
    <x v="12"/>
    <s v="Masculino"/>
    <s v="Camisas"/>
    <s v="Puma"/>
    <s v="Corrida e Lazer"/>
    <n v="2"/>
    <s v="F2"/>
    <x v="6"/>
    <s v="Jardim paulista"/>
    <x v="0"/>
    <s v="C15"/>
    <x v="0"/>
    <s v="Vila Paulista"/>
    <s v="P. Prudente"/>
  </r>
  <r>
    <n v="228"/>
    <x v="177"/>
    <x v="6"/>
    <x v="11"/>
    <s v="P18"/>
    <x v="13"/>
    <s v="Ambos"/>
    <s v="Esporte e Lazer"/>
    <s v="Nike"/>
    <s v="Futebol"/>
    <n v="1"/>
    <s v="F6"/>
    <x v="3"/>
    <s v="Vila Boa Vista"/>
    <x v="2"/>
    <s v="C12"/>
    <x v="19"/>
    <s v="Bela Vista"/>
    <s v="Alv.Machado"/>
  </r>
  <r>
    <n v="227"/>
    <x v="178"/>
    <x v="6"/>
    <x v="42"/>
    <s v="P17"/>
    <x v="14"/>
    <s v="Ambos"/>
    <s v="Esporte"/>
    <s v="NB"/>
    <s v="Academia"/>
    <n v="3"/>
    <s v="F9"/>
    <x v="1"/>
    <s v="Centro"/>
    <x v="1"/>
    <s v="C44"/>
    <x v="30"/>
    <s v="Vila Áurea"/>
    <s v="P. Prudente"/>
  </r>
  <r>
    <n v="226"/>
    <x v="179"/>
    <x v="6"/>
    <x v="41"/>
    <s v="P16"/>
    <x v="15"/>
    <s v="Masculino"/>
    <s v="Lazer e Casual"/>
    <s v="NB"/>
    <s v="-"/>
    <n v="2"/>
    <s v="F8"/>
    <x v="7"/>
    <s v="Brasil Novo"/>
    <x v="3"/>
    <s v="C31"/>
    <x v="18"/>
    <s v="Bela Vista"/>
    <s v="P. Bernardes "/>
  </r>
  <r>
    <n v="225"/>
    <x v="180"/>
    <x v="6"/>
    <x v="46"/>
    <s v="P15"/>
    <x v="16"/>
    <s v="Ambos"/>
    <s v="Casual"/>
    <s v="Nike"/>
    <s v="-"/>
    <n v="2"/>
    <s v="F4"/>
    <x v="4"/>
    <s v="Jardim São Bento"/>
    <x v="0"/>
    <s v="C10"/>
    <x v="20"/>
    <s v="Vila Paulista"/>
    <s v="P. Prudente"/>
  </r>
  <r>
    <n v="224"/>
    <x v="181"/>
    <x v="6"/>
    <x v="4"/>
    <s v="P14"/>
    <x v="17"/>
    <s v="Feminino"/>
    <s v="Casual"/>
    <s v="NB"/>
    <s v="-"/>
    <n v="1"/>
    <s v="F5"/>
    <x v="8"/>
    <s v="Ana jacinta"/>
    <x v="0"/>
    <s v="C33"/>
    <x v="36"/>
    <s v="Jardim Santa Clara"/>
    <s v="P. Prudente"/>
  </r>
  <r>
    <n v="223"/>
    <x v="182"/>
    <x v="6"/>
    <x v="42"/>
    <s v="P13"/>
    <x v="18"/>
    <s v="Feminino"/>
    <s v="Corrida"/>
    <s v="NB"/>
    <s v="Corrida"/>
    <n v="1"/>
    <s v="F2"/>
    <x v="6"/>
    <s v="Jardim paulista"/>
    <x v="0"/>
    <s v="C8"/>
    <x v="39"/>
    <s v="Centro"/>
    <s v="Martinopolis"/>
  </r>
  <r>
    <n v="222"/>
    <x v="183"/>
    <x v="6"/>
    <x v="17"/>
    <s v="P12"/>
    <x v="19"/>
    <s v="Ambos"/>
    <s v="Corrida e Lazer"/>
    <s v="Nike"/>
    <s v="Corrida"/>
    <n v="1"/>
    <s v="F1"/>
    <x v="0"/>
    <s v="Jardim São Bento"/>
    <x v="0"/>
    <s v="C43"/>
    <x v="49"/>
    <s v="Rua Catarina Mungo Pisssulin, 245"/>
    <s v="P. Prudente"/>
  </r>
  <r>
    <n v="221"/>
    <x v="184"/>
    <x v="6"/>
    <x v="43"/>
    <s v="P11"/>
    <x v="20"/>
    <s v="Masculino"/>
    <s v="Esporte"/>
    <s v="Nike"/>
    <s v="Geral"/>
    <n v="3"/>
    <s v="F5"/>
    <x v="8"/>
    <s v="Ana jacinta"/>
    <x v="0"/>
    <s v="C3"/>
    <x v="22"/>
    <s v="Raio do Sol"/>
    <s v="P. Prudente"/>
  </r>
  <r>
    <n v="220"/>
    <x v="185"/>
    <x v="6"/>
    <x v="27"/>
    <s v="P10"/>
    <x v="21"/>
    <s v="Masculino"/>
    <s v="Esporte e Lazer"/>
    <s v="Nike"/>
    <s v="Geral"/>
    <n v="2"/>
    <s v="F2"/>
    <x v="6"/>
    <s v="Jardim paulista"/>
    <x v="0"/>
    <s v="C35"/>
    <x v="34"/>
    <s v="Bosque Itaju"/>
    <s v="P. Prudente"/>
  </r>
  <r>
    <n v="219"/>
    <x v="186"/>
    <x v="6"/>
    <x v="12"/>
    <s v="P9"/>
    <x v="0"/>
    <s v="Ambos"/>
    <s v="Lazer"/>
    <s v="Adidas"/>
    <s v="Geral"/>
    <n v="1"/>
    <s v="F5"/>
    <x v="8"/>
    <s v="Ana jacinta"/>
    <x v="0"/>
    <s v="C47"/>
    <x v="10"/>
    <s v="Vila Boa Vista"/>
    <s v="P. Prudente"/>
  </r>
  <r>
    <n v="218"/>
    <x v="162"/>
    <x v="6"/>
    <x v="1"/>
    <s v="P8"/>
    <x v="1"/>
    <s v="Feminino"/>
    <s v="Esporte"/>
    <s v="Adidas"/>
    <s v="Musculaçao"/>
    <n v="2"/>
    <s v="F6"/>
    <x v="3"/>
    <s v="Vila Boa Vista"/>
    <x v="2"/>
    <s v="C24"/>
    <x v="8"/>
    <s v="São José"/>
    <s v="P. Prudente"/>
  </r>
  <r>
    <n v="217"/>
    <x v="163"/>
    <x v="6"/>
    <x v="0"/>
    <s v="P7"/>
    <x v="2"/>
    <s v="Masculino"/>
    <s v="Esporte e Lazer"/>
    <s v="Adidas"/>
    <s v="Corrida"/>
    <n v="3"/>
    <s v="F3"/>
    <x v="2"/>
    <s v="Vila Aurélio"/>
    <x v="1"/>
    <s v="C17"/>
    <x v="47"/>
    <s v="Raio do Sol"/>
    <s v="Martinopolis"/>
  </r>
  <r>
    <n v="216"/>
    <x v="164"/>
    <x v="6"/>
    <x v="3"/>
    <s v="P6"/>
    <x v="3"/>
    <s v="Masculino"/>
    <s v="Esporte e Lazer"/>
    <s v="Nike"/>
    <s v="Geral"/>
    <n v="3"/>
    <s v="F2"/>
    <x v="6"/>
    <s v="Jardim paulista"/>
    <x v="0"/>
    <s v="C32"/>
    <x v="11"/>
    <s v="Matadouro"/>
    <s v="P. Prudente"/>
  </r>
  <r>
    <n v="215"/>
    <x v="165"/>
    <x v="6"/>
    <x v="2"/>
    <s v="P5"/>
    <x v="4"/>
    <s v="Ambos"/>
    <s v="Esporte e Lazer"/>
    <s v="Nike"/>
    <s v="Geral"/>
    <n v="1"/>
    <s v="F7"/>
    <x v="5"/>
    <s v="Cecap"/>
    <x v="0"/>
    <s v="C33"/>
    <x v="36"/>
    <s v="Jardim Santa Clara"/>
    <s v="P. Prudente"/>
  </r>
  <r>
    <n v="214"/>
    <x v="158"/>
    <x v="6"/>
    <x v="21"/>
    <s v="P4"/>
    <x v="5"/>
    <s v="Ambos"/>
    <s v="Corrida e Lazer"/>
    <s v="Nike"/>
    <s v="Geral"/>
    <n v="3"/>
    <s v="F6"/>
    <x v="3"/>
    <s v="Vila Boa Vista"/>
    <x v="2"/>
    <s v="C6"/>
    <x v="5"/>
    <s v="Vila Paulista"/>
    <s v="Alv.Machado"/>
  </r>
  <r>
    <n v="213"/>
    <x v="159"/>
    <x v="6"/>
    <x v="29"/>
    <s v="P3"/>
    <x v="6"/>
    <s v="Ambos"/>
    <s v="Musculaçao"/>
    <s v="Strongbrand"/>
    <s v="Musculaçao"/>
    <n v="1"/>
    <s v="F2"/>
    <x v="6"/>
    <s v="Jardim paulista"/>
    <x v="0"/>
    <s v="C37"/>
    <x v="27"/>
    <s v="Cecap"/>
    <s v="P. Prudente"/>
  </r>
  <r>
    <n v="212"/>
    <x v="160"/>
    <x v="6"/>
    <x v="37"/>
    <s v="P2"/>
    <x v="7"/>
    <s v="Ambos"/>
    <s v="Musculaçao"/>
    <s v="Strongbrand"/>
    <s v="Musculaçao"/>
    <n v="3"/>
    <s v="F9"/>
    <x v="1"/>
    <s v="Centro"/>
    <x v="1"/>
    <s v="C21"/>
    <x v="7"/>
    <s v="Matadouro"/>
    <s v="P. Prudente"/>
  </r>
  <r>
    <n v="211"/>
    <x v="161"/>
    <x v="6"/>
    <x v="31"/>
    <s v="P1"/>
    <x v="8"/>
    <s v="Ambos"/>
    <s v="Musculaçao"/>
    <s v="Strongbrand"/>
    <s v="Musculaçao"/>
    <n v="3"/>
    <s v="F2"/>
    <x v="6"/>
    <s v="Jardim paulista"/>
    <x v="0"/>
    <s v="C23"/>
    <x v="17"/>
    <s v="Bela Vista"/>
    <s v="Alv.Machado"/>
  </r>
  <r>
    <n v="210"/>
    <x v="187"/>
    <x v="7"/>
    <x v="24"/>
    <s v="P19"/>
    <x v="12"/>
    <s v="Masculino"/>
    <s v="Camisas"/>
    <s v="Puma"/>
    <s v="Corrida e Lazer"/>
    <n v="3"/>
    <s v="F6"/>
    <x v="3"/>
    <s v="Vila Boa Vista"/>
    <x v="2"/>
    <s v="C49"/>
    <x v="24"/>
    <s v="Vila Aurélio"/>
    <s v="P. Prudente"/>
  </r>
  <r>
    <n v="209"/>
    <x v="188"/>
    <x v="7"/>
    <x v="33"/>
    <s v="P18"/>
    <x v="13"/>
    <s v="Ambos"/>
    <s v="Esporte e Lazer"/>
    <s v="Nike"/>
    <s v="Futebol"/>
    <n v="2"/>
    <s v="F2"/>
    <x v="6"/>
    <s v="Jardim paulista"/>
    <x v="0"/>
    <s v="C35"/>
    <x v="34"/>
    <s v="Bosque Itaju"/>
    <s v="P. Prudente"/>
  </r>
  <r>
    <n v="208"/>
    <x v="189"/>
    <x v="7"/>
    <x v="42"/>
    <s v="P17"/>
    <x v="14"/>
    <s v="Ambos"/>
    <s v="Esporte"/>
    <s v="NB"/>
    <s v="Academia"/>
    <n v="3"/>
    <s v="F8"/>
    <x v="7"/>
    <s v="Brasil Novo"/>
    <x v="3"/>
    <s v="C27"/>
    <x v="12"/>
    <s v="Centro"/>
    <s v="Alv.Machado"/>
  </r>
  <r>
    <n v="207"/>
    <x v="190"/>
    <x v="7"/>
    <x v="41"/>
    <s v="P16"/>
    <x v="15"/>
    <s v="Masculino"/>
    <s v="Lazer e Casual"/>
    <s v="NB"/>
    <s v="-"/>
    <n v="2"/>
    <s v="F4"/>
    <x v="4"/>
    <s v="Jardim São Bento"/>
    <x v="0"/>
    <s v="C24"/>
    <x v="8"/>
    <s v="São José"/>
    <s v="P. Prudente"/>
  </r>
  <r>
    <n v="206"/>
    <x v="191"/>
    <x v="7"/>
    <x v="14"/>
    <s v="P15"/>
    <x v="16"/>
    <s v="Ambos"/>
    <s v="Casual"/>
    <s v="Nike"/>
    <s v="-"/>
    <n v="1"/>
    <s v="F1"/>
    <x v="0"/>
    <s v="Jardim São Bento"/>
    <x v="0"/>
    <s v="C9"/>
    <x v="32"/>
    <s v="São Lucas"/>
    <s v="P. Bernardes "/>
  </r>
  <r>
    <n v="205"/>
    <x v="192"/>
    <x v="7"/>
    <x v="4"/>
    <s v="P14"/>
    <x v="17"/>
    <s v="Feminino"/>
    <s v="Casual"/>
    <s v="NB"/>
    <s v="-"/>
    <n v="1"/>
    <s v="F4"/>
    <x v="4"/>
    <s v="Jardim São Bento"/>
    <x v="0"/>
    <s v="C20"/>
    <x v="9"/>
    <s v="Bela Vista"/>
    <s v="P. Bernardes "/>
  </r>
  <r>
    <n v="204"/>
    <x v="193"/>
    <x v="7"/>
    <x v="16"/>
    <s v="P13"/>
    <x v="18"/>
    <s v="Feminino"/>
    <s v="Corrida"/>
    <s v="NB"/>
    <s v="Corrida"/>
    <n v="2"/>
    <s v="F5"/>
    <x v="8"/>
    <s v="Ana jacinta"/>
    <x v="0"/>
    <s v="C20"/>
    <x v="9"/>
    <s v="Bela Vista"/>
    <s v="P. Bernardes "/>
  </r>
  <r>
    <n v="203"/>
    <x v="194"/>
    <x v="7"/>
    <x v="10"/>
    <s v="P12"/>
    <x v="19"/>
    <s v="Ambos"/>
    <s v="Corrida e Lazer"/>
    <s v="Nike"/>
    <s v="Corrida"/>
    <n v="2"/>
    <s v="F3"/>
    <x v="2"/>
    <s v="Vila Aurélio"/>
    <x v="1"/>
    <s v="C25"/>
    <x v="14"/>
    <s v="São Lucas"/>
    <s v="P. Bernardes "/>
  </r>
  <r>
    <n v="202"/>
    <x v="195"/>
    <x v="7"/>
    <x v="26"/>
    <s v="P11"/>
    <x v="20"/>
    <s v="Masculino"/>
    <s v="Esporte"/>
    <s v="Nike"/>
    <s v="Geral"/>
    <n v="2"/>
    <s v="F5"/>
    <x v="8"/>
    <s v="Ana jacinta"/>
    <x v="0"/>
    <s v="C36"/>
    <x v="38"/>
    <s v="Brasil Novo"/>
    <s v="P. Bernades"/>
  </r>
  <r>
    <n v="201"/>
    <x v="196"/>
    <x v="7"/>
    <x v="18"/>
    <s v="P10"/>
    <x v="21"/>
    <s v="Masculino"/>
    <s v="Esporte e Lazer"/>
    <s v="Nike"/>
    <s v="Geral"/>
    <n v="1"/>
    <s v="F2"/>
    <x v="6"/>
    <s v="Jardim paulista"/>
    <x v="0"/>
    <s v="C13"/>
    <x v="21"/>
    <s v="Raio do Sol"/>
    <s v="P. Prudente"/>
  </r>
  <r>
    <n v="200"/>
    <x v="197"/>
    <x v="7"/>
    <x v="0"/>
    <s v="P9"/>
    <x v="0"/>
    <s v="Ambos"/>
    <s v="Lazer"/>
    <s v="Adidas"/>
    <s v="Geral"/>
    <n v="2"/>
    <s v="F4"/>
    <x v="4"/>
    <s v="Jardim São Bento"/>
    <x v="0"/>
    <s v="C46"/>
    <x v="31"/>
    <s v="Vila Barbeiro"/>
    <s v="P. Prudente"/>
  </r>
  <r>
    <n v="199"/>
    <x v="198"/>
    <x v="7"/>
    <x v="19"/>
    <s v="P8"/>
    <x v="1"/>
    <s v="Feminino"/>
    <s v="Esporte"/>
    <s v="Adidas"/>
    <s v="Musculaçao"/>
    <n v="3"/>
    <s v="F1"/>
    <x v="0"/>
    <s v="Jardim São Bento"/>
    <x v="0"/>
    <s v="C3"/>
    <x v="22"/>
    <s v="Raio do Sol"/>
    <s v="P. Prudente"/>
  </r>
  <r>
    <n v="198"/>
    <x v="190"/>
    <x v="7"/>
    <x v="0"/>
    <s v="P7"/>
    <x v="2"/>
    <s v="Masculino"/>
    <s v="Esporte e Lazer"/>
    <s v="Adidas"/>
    <s v="Corrida"/>
    <n v="3"/>
    <s v="F4"/>
    <x v="4"/>
    <s v="Jardim São Bento"/>
    <x v="0"/>
    <s v="C10"/>
    <x v="20"/>
    <s v="Vila Paulista"/>
    <s v="P. Prudente"/>
  </r>
  <r>
    <n v="197"/>
    <x v="191"/>
    <x v="7"/>
    <x v="8"/>
    <s v="P6"/>
    <x v="3"/>
    <s v="Masculino"/>
    <s v="Esporte e Lazer"/>
    <s v="Nike"/>
    <s v="Geral"/>
    <n v="2"/>
    <s v="F2"/>
    <x v="6"/>
    <s v="Jardim paulista"/>
    <x v="0"/>
    <s v="C32"/>
    <x v="11"/>
    <s v="Matadouro"/>
    <s v="P. Prudente"/>
  </r>
  <r>
    <n v="196"/>
    <x v="192"/>
    <x v="7"/>
    <x v="0"/>
    <s v="P5"/>
    <x v="4"/>
    <s v="Ambos"/>
    <s v="Esporte e Lazer"/>
    <s v="Nike"/>
    <s v="Geral"/>
    <n v="3"/>
    <s v="F8"/>
    <x v="7"/>
    <s v="Brasil Novo"/>
    <x v="3"/>
    <s v="C27"/>
    <x v="12"/>
    <s v="Centro"/>
    <s v="Alv.Machado"/>
  </r>
  <r>
    <n v="195"/>
    <x v="193"/>
    <x v="7"/>
    <x v="4"/>
    <s v="P4"/>
    <x v="5"/>
    <s v="Ambos"/>
    <s v="Corrida e Lazer"/>
    <s v="Nike"/>
    <s v="Geral"/>
    <n v="2"/>
    <s v="F8"/>
    <x v="7"/>
    <s v="Brasil Novo"/>
    <x v="3"/>
    <s v="C39"/>
    <x v="48"/>
    <s v="Jardim Santa Olga"/>
    <s v="P. Prudente"/>
  </r>
  <r>
    <n v="194"/>
    <x v="194"/>
    <x v="7"/>
    <x v="5"/>
    <s v="P3"/>
    <x v="6"/>
    <s v="Ambos"/>
    <s v="Musculaçao"/>
    <s v="Strongbrand"/>
    <s v="Musculaçao"/>
    <n v="2"/>
    <s v="F2"/>
    <x v="6"/>
    <s v="Jardim paulista"/>
    <x v="0"/>
    <s v="C42"/>
    <x v="25"/>
    <s v="Jardim São Bento"/>
    <s v="P. Prudente"/>
  </r>
  <r>
    <n v="193"/>
    <x v="195"/>
    <x v="7"/>
    <x v="6"/>
    <s v="P2"/>
    <x v="7"/>
    <s v="Ambos"/>
    <s v="Musculaçao"/>
    <s v="Strongbrand"/>
    <s v="Musculaçao"/>
    <n v="2"/>
    <s v="F8"/>
    <x v="7"/>
    <s v="Brasil Novo"/>
    <x v="3"/>
    <s v="C43"/>
    <x v="49"/>
    <s v="Rua Catarina Mungo Pisssulin, 245"/>
    <s v="P. Prudente"/>
  </r>
  <r>
    <n v="192"/>
    <x v="196"/>
    <x v="7"/>
    <x v="31"/>
    <s v="P1"/>
    <x v="8"/>
    <s v="Ambos"/>
    <s v="Musculaçao"/>
    <s v="Strongbrand"/>
    <s v="Musculaçao"/>
    <n v="3"/>
    <s v="F3"/>
    <x v="2"/>
    <s v="Vila Aurélio"/>
    <x v="1"/>
    <s v="C44"/>
    <x v="30"/>
    <s v="Vila Áurea"/>
    <s v="P. Prudente"/>
  </r>
  <r>
    <n v="191"/>
    <x v="197"/>
    <x v="7"/>
    <x v="38"/>
    <s v="P22"/>
    <x v="9"/>
    <s v="Ambos"/>
    <s v="Bicicletas"/>
    <s v="Caloi"/>
    <s v="Geral"/>
    <n v="2"/>
    <s v="F2"/>
    <x v="6"/>
    <s v="Jardim paulista"/>
    <x v="0"/>
    <s v="C30"/>
    <x v="35"/>
    <s v="São José"/>
    <s v="P. Prudente"/>
  </r>
  <r>
    <n v="190"/>
    <x v="198"/>
    <x v="7"/>
    <x v="9"/>
    <s v="P21"/>
    <x v="10"/>
    <s v="Ambos"/>
    <s v="Bicicletas"/>
    <s v="Caloi"/>
    <s v="Geral"/>
    <n v="1"/>
    <s v="F7"/>
    <x v="5"/>
    <s v="Cecap"/>
    <x v="0"/>
    <s v="C49"/>
    <x v="24"/>
    <s v="Vila Aurélio"/>
    <s v="P. Prudente"/>
  </r>
  <r>
    <n v="189"/>
    <x v="199"/>
    <x v="7"/>
    <x v="39"/>
    <s v="P20"/>
    <x v="11"/>
    <s v="Ambos"/>
    <s v="Bermuda  "/>
    <s v="Puma"/>
    <s v="-"/>
    <n v="2"/>
    <s v="F1"/>
    <x v="0"/>
    <s v="Jardim São Bento"/>
    <x v="0"/>
    <s v="C18"/>
    <x v="41"/>
    <s v="Centro"/>
    <s v="Alv.Machado"/>
  </r>
  <r>
    <n v="188"/>
    <x v="200"/>
    <x v="7"/>
    <x v="10"/>
    <s v="P19"/>
    <x v="12"/>
    <s v="Masculino"/>
    <s v="Camisas"/>
    <s v="Puma"/>
    <s v="Corrida e Lazer"/>
    <n v="2"/>
    <s v="F2"/>
    <x v="6"/>
    <s v="Jardim paulista"/>
    <x v="0"/>
    <s v="C9"/>
    <x v="32"/>
    <s v="São Lucas"/>
    <s v="P. Bernardes "/>
  </r>
  <r>
    <n v="187"/>
    <x v="201"/>
    <x v="7"/>
    <x v="11"/>
    <s v="P18"/>
    <x v="13"/>
    <s v="Ambos"/>
    <s v="Esporte e Lazer"/>
    <s v="Nike"/>
    <s v="Futebol"/>
    <n v="1"/>
    <s v="F3"/>
    <x v="2"/>
    <s v="Vila Aurélio"/>
    <x v="1"/>
    <s v="C4"/>
    <x v="46"/>
    <s v="Centro"/>
    <s v="P. Bernardes "/>
  </r>
  <r>
    <n v="186"/>
    <x v="202"/>
    <x v="7"/>
    <x v="40"/>
    <s v="P17"/>
    <x v="14"/>
    <s v="Ambos"/>
    <s v="Esporte"/>
    <s v="NB"/>
    <s v="Academia"/>
    <n v="1"/>
    <s v="F9"/>
    <x v="1"/>
    <s v="Centro"/>
    <x v="1"/>
    <s v="C36"/>
    <x v="38"/>
    <s v="Brasil Novo"/>
    <s v="P. Bernades"/>
  </r>
  <r>
    <n v="185"/>
    <x v="203"/>
    <x v="7"/>
    <x v="13"/>
    <s v="P16"/>
    <x v="15"/>
    <s v="Masculino"/>
    <s v="Lazer e Casual"/>
    <s v="NB"/>
    <s v="-"/>
    <n v="1"/>
    <s v="F1"/>
    <x v="0"/>
    <s v="Jardim São Bento"/>
    <x v="0"/>
    <s v="C46"/>
    <x v="31"/>
    <s v="Vila Barbeiro"/>
    <s v="P. Prudente"/>
  </r>
  <r>
    <n v="184"/>
    <x v="204"/>
    <x v="7"/>
    <x v="46"/>
    <s v="P15"/>
    <x v="16"/>
    <s v="Ambos"/>
    <s v="Casual"/>
    <s v="Nike"/>
    <s v="-"/>
    <n v="2"/>
    <s v="F3"/>
    <x v="2"/>
    <s v="Vila Aurélio"/>
    <x v="1"/>
    <s v="C5"/>
    <x v="6"/>
    <s v="Bela Vista"/>
    <s v="P. Prudente"/>
  </r>
  <r>
    <n v="183"/>
    <x v="205"/>
    <x v="7"/>
    <x v="15"/>
    <s v="P14"/>
    <x v="17"/>
    <s v="Feminino"/>
    <s v="Casual"/>
    <s v="NB"/>
    <s v="-"/>
    <n v="3"/>
    <s v="F2"/>
    <x v="6"/>
    <s v="Jardim paulista"/>
    <x v="0"/>
    <s v="C9"/>
    <x v="32"/>
    <s v="São Lucas"/>
    <s v="P. Bernardes "/>
  </r>
  <r>
    <n v="182"/>
    <x v="206"/>
    <x v="7"/>
    <x v="42"/>
    <s v="P13"/>
    <x v="18"/>
    <s v="Feminino"/>
    <s v="Corrida"/>
    <s v="NB"/>
    <s v="Corrida"/>
    <n v="1"/>
    <s v="F6"/>
    <x v="3"/>
    <s v="Vila Boa Vista"/>
    <x v="2"/>
    <s v="C3"/>
    <x v="22"/>
    <s v="Raio do Sol"/>
    <s v="P. Prudente"/>
  </r>
  <r>
    <n v="181"/>
    <x v="207"/>
    <x v="7"/>
    <x v="10"/>
    <s v="P12"/>
    <x v="19"/>
    <s v="Ambos"/>
    <s v="Corrida e Lazer"/>
    <s v="Nike"/>
    <s v="Corrida"/>
    <n v="2"/>
    <s v="F1"/>
    <x v="0"/>
    <s v="Jardim São Bento"/>
    <x v="0"/>
    <s v="C35"/>
    <x v="34"/>
    <s v="Bosque Itaju"/>
    <s v="P. Prudente"/>
  </r>
  <r>
    <n v="180"/>
    <x v="208"/>
    <x v="7"/>
    <x v="26"/>
    <s v="P11"/>
    <x v="20"/>
    <s v="Masculino"/>
    <s v="Esporte"/>
    <s v="Nike"/>
    <s v="Geral"/>
    <n v="2"/>
    <s v="F1"/>
    <x v="0"/>
    <s v="Jardim São Bento"/>
    <x v="0"/>
    <s v="C12"/>
    <x v="19"/>
    <s v="Bela Vista"/>
    <s v="Alv.Machado"/>
  </r>
  <r>
    <n v="179"/>
    <x v="209"/>
    <x v="7"/>
    <x v="44"/>
    <s v="P10"/>
    <x v="21"/>
    <s v="Masculino"/>
    <s v="Esporte e Lazer"/>
    <s v="Nike"/>
    <s v="Geral"/>
    <n v="3"/>
    <s v="F6"/>
    <x v="3"/>
    <s v="Vila Boa Vista"/>
    <x v="2"/>
    <s v="C43"/>
    <x v="49"/>
    <s v="Rua Catarina Mungo Pisssulin, 245"/>
    <s v="P. Prudente"/>
  </r>
  <r>
    <n v="178"/>
    <x v="210"/>
    <x v="7"/>
    <x v="12"/>
    <s v="P9"/>
    <x v="0"/>
    <s v="Ambos"/>
    <s v="Lazer"/>
    <s v="Adidas"/>
    <s v="Geral"/>
    <n v="1"/>
    <s v="F5"/>
    <x v="8"/>
    <s v="Ana jacinta"/>
    <x v="0"/>
    <s v="C35"/>
    <x v="34"/>
    <s v="Bosque Itaju"/>
    <s v="P. Prudente"/>
  </r>
  <r>
    <n v="177"/>
    <x v="211"/>
    <x v="7"/>
    <x v="1"/>
    <s v="P8"/>
    <x v="1"/>
    <s v="Feminino"/>
    <s v="Esporte"/>
    <s v="Adidas"/>
    <s v="Musculaçao"/>
    <n v="2"/>
    <s v="F9"/>
    <x v="1"/>
    <s v="Centro"/>
    <x v="1"/>
    <s v="C15"/>
    <x v="0"/>
    <s v="Vila Paulista"/>
    <s v="P. Prudente"/>
  </r>
  <r>
    <n v="176"/>
    <x v="212"/>
    <x v="7"/>
    <x v="2"/>
    <s v="P7"/>
    <x v="2"/>
    <s v="Masculino"/>
    <s v="Esporte e Lazer"/>
    <s v="Adidas"/>
    <s v="Corrida"/>
    <n v="1"/>
    <s v="F2"/>
    <x v="6"/>
    <s v="Jardim paulista"/>
    <x v="0"/>
    <s v="C16"/>
    <x v="3"/>
    <s v="Centro"/>
    <s v="Alv.Machado"/>
  </r>
  <r>
    <n v="175"/>
    <x v="213"/>
    <x v="7"/>
    <x v="20"/>
    <s v="P6"/>
    <x v="3"/>
    <s v="Masculino"/>
    <s v="Esporte e Lazer"/>
    <s v="Nike"/>
    <s v="Geral"/>
    <n v="1"/>
    <s v="F9"/>
    <x v="1"/>
    <s v="Centro"/>
    <x v="1"/>
    <s v="C13"/>
    <x v="21"/>
    <s v="Raio do Sol"/>
    <s v="P. Prudente"/>
  </r>
  <r>
    <n v="174"/>
    <x v="214"/>
    <x v="7"/>
    <x v="2"/>
    <s v="P5"/>
    <x v="4"/>
    <s v="Ambos"/>
    <s v="Esporte e Lazer"/>
    <s v="Nike"/>
    <s v="Geral"/>
    <n v="1"/>
    <s v="F1"/>
    <x v="0"/>
    <s v="Jardim São Bento"/>
    <x v="0"/>
    <s v="C31"/>
    <x v="18"/>
    <s v="Bela Vista"/>
    <s v="P. Bernardes "/>
  </r>
  <r>
    <n v="173"/>
    <x v="187"/>
    <x v="7"/>
    <x v="4"/>
    <s v="P4"/>
    <x v="5"/>
    <s v="Ambos"/>
    <s v="Corrida e Lazer"/>
    <s v="Nike"/>
    <s v="Geral"/>
    <n v="2"/>
    <s v="F7"/>
    <x v="5"/>
    <s v="Cecap"/>
    <x v="0"/>
    <s v="C2"/>
    <x v="45"/>
    <s v="São José"/>
    <s v="P. Prudente"/>
  </r>
  <r>
    <n v="172"/>
    <x v="188"/>
    <x v="7"/>
    <x v="10"/>
    <s v="P3"/>
    <x v="6"/>
    <s v="Ambos"/>
    <s v="Musculaçao"/>
    <s v="Strongbrand"/>
    <s v="Musculaçao"/>
    <n v="3"/>
    <s v="F4"/>
    <x v="4"/>
    <s v="Jardim São Bento"/>
    <x v="0"/>
    <s v="C43"/>
    <x v="49"/>
    <s v="Rua Catarina Mungo Pisssulin, 245"/>
    <s v="P. Prudente"/>
  </r>
  <r>
    <n v="171"/>
    <x v="189"/>
    <x v="7"/>
    <x v="37"/>
    <s v="P2"/>
    <x v="7"/>
    <s v="Ambos"/>
    <s v="Musculaçao"/>
    <s v="Strongbrand"/>
    <s v="Musculaçao"/>
    <n v="3"/>
    <s v="F4"/>
    <x v="4"/>
    <s v="Jardim São Bento"/>
    <x v="0"/>
    <s v="C35"/>
    <x v="34"/>
    <s v="Bosque Itaju"/>
    <s v="P. Prudente"/>
  </r>
  <r>
    <n v="170"/>
    <x v="215"/>
    <x v="7"/>
    <x v="7"/>
    <s v="P1"/>
    <x v="8"/>
    <s v="Ambos"/>
    <s v="Musculaçao"/>
    <s v="Strongbrand"/>
    <s v="Musculaçao"/>
    <n v="1"/>
    <s v="F2"/>
    <x v="6"/>
    <s v="Jardim paulista"/>
    <x v="0"/>
    <s v="C27"/>
    <x v="12"/>
    <s v="Centro"/>
    <s v="Alv.Machado"/>
  </r>
  <r>
    <n v="169"/>
    <x v="216"/>
    <x v="8"/>
    <x v="37"/>
    <s v="P2"/>
    <x v="7"/>
    <s v="Ambos"/>
    <s v="Musculaçao"/>
    <s v="Strongbrand"/>
    <s v="Musculaçao"/>
    <n v="3"/>
    <s v="F3"/>
    <x v="2"/>
    <s v="Vila Aurélio"/>
    <x v="1"/>
    <s v="C6"/>
    <x v="5"/>
    <s v="Vila Paulista"/>
    <s v="Alv.Machado"/>
  </r>
  <r>
    <n v="168"/>
    <x v="217"/>
    <x v="8"/>
    <x v="31"/>
    <s v="P1"/>
    <x v="8"/>
    <s v="Ambos"/>
    <s v="Musculaçao"/>
    <s v="Strongbrand"/>
    <s v="Musculaçao"/>
    <n v="3"/>
    <s v="F5"/>
    <x v="8"/>
    <s v="Ana jacinta"/>
    <x v="0"/>
    <s v="C11"/>
    <x v="16"/>
    <s v="Bela Vista"/>
    <s v="P. Prudente"/>
  </r>
  <r>
    <n v="167"/>
    <x v="218"/>
    <x v="8"/>
    <x v="8"/>
    <s v="P22"/>
    <x v="9"/>
    <s v="Ambos"/>
    <s v="Bicicletas"/>
    <s v="Caloi"/>
    <s v="Geral"/>
    <n v="1"/>
    <s v="F7"/>
    <x v="5"/>
    <s v="Cecap"/>
    <x v="0"/>
    <s v="C41"/>
    <x v="15"/>
    <s v="Jardim Santana"/>
    <s v="P. Prudente"/>
  </r>
  <r>
    <n v="166"/>
    <x v="219"/>
    <x v="8"/>
    <x v="47"/>
    <s v="P21"/>
    <x v="10"/>
    <s v="Ambos"/>
    <s v="Bicicletas"/>
    <s v="Caloi"/>
    <s v="Geral"/>
    <n v="3"/>
    <s v="F3"/>
    <x v="2"/>
    <s v="Vila Aurélio"/>
    <x v="1"/>
    <s v="C34"/>
    <x v="44"/>
    <s v="Jardim Santa Elisa"/>
    <s v="P. Prudente"/>
  </r>
  <r>
    <n v="165"/>
    <x v="220"/>
    <x v="8"/>
    <x v="23"/>
    <s v="P20"/>
    <x v="11"/>
    <s v="Ambos"/>
    <s v="Bermuda  "/>
    <s v="Puma"/>
    <s v="-"/>
    <n v="3"/>
    <s v="F9"/>
    <x v="1"/>
    <s v="Centro"/>
    <x v="1"/>
    <s v="C22"/>
    <x v="13"/>
    <s v="Raio do Sol"/>
    <s v="P. Prudente"/>
  </r>
  <r>
    <n v="164"/>
    <x v="221"/>
    <x v="8"/>
    <x v="17"/>
    <s v="P19"/>
    <x v="12"/>
    <s v="Masculino"/>
    <s v="Camisas"/>
    <s v="Puma"/>
    <s v="Corrida e Lazer"/>
    <n v="1"/>
    <s v="F4"/>
    <x v="4"/>
    <s v="Jardim São Bento"/>
    <x v="0"/>
    <s v="C49"/>
    <x v="24"/>
    <s v="Vila Aurélio"/>
    <s v="P. Prudente"/>
  </r>
  <r>
    <n v="163"/>
    <x v="222"/>
    <x v="8"/>
    <x v="40"/>
    <s v="P18"/>
    <x v="13"/>
    <s v="Ambos"/>
    <s v="Esporte e Lazer"/>
    <s v="Nike"/>
    <s v="Futebol"/>
    <n v="3"/>
    <s v="F9"/>
    <x v="1"/>
    <s v="Centro"/>
    <x v="1"/>
    <s v="C2"/>
    <x v="45"/>
    <s v="São José"/>
    <s v="P. Prudente"/>
  </r>
  <r>
    <n v="162"/>
    <x v="223"/>
    <x v="8"/>
    <x v="42"/>
    <s v="P17"/>
    <x v="14"/>
    <s v="Ambos"/>
    <s v="Esporte"/>
    <s v="NB"/>
    <s v="Academia"/>
    <n v="3"/>
    <s v="F6"/>
    <x v="3"/>
    <s v="Vila Boa Vista"/>
    <x v="2"/>
    <s v="C34"/>
    <x v="44"/>
    <s v="Jardim Santa Elisa"/>
    <s v="P. Prudente"/>
  </r>
  <r>
    <n v="161"/>
    <x v="224"/>
    <x v="8"/>
    <x v="45"/>
    <s v="P16"/>
    <x v="15"/>
    <s v="Masculino"/>
    <s v="Lazer e Casual"/>
    <s v="NB"/>
    <s v="-"/>
    <n v="3"/>
    <s v="F3"/>
    <x v="2"/>
    <s v="Vila Aurélio"/>
    <x v="1"/>
    <s v="C39"/>
    <x v="48"/>
    <s v="Jardim Santa Olga"/>
    <s v="P. Prudente"/>
  </r>
  <r>
    <n v="160"/>
    <x v="225"/>
    <x v="8"/>
    <x v="14"/>
    <s v="P15"/>
    <x v="16"/>
    <s v="Ambos"/>
    <s v="Casual"/>
    <s v="Nike"/>
    <s v="-"/>
    <n v="1"/>
    <s v="F1"/>
    <x v="0"/>
    <s v="Jardim São Bento"/>
    <x v="0"/>
    <s v="C45"/>
    <x v="26"/>
    <s v="Vila Aurélio"/>
    <s v="P. Prudente"/>
  </r>
  <r>
    <n v="159"/>
    <x v="226"/>
    <x v="8"/>
    <x v="15"/>
    <s v="P14"/>
    <x v="17"/>
    <s v="Feminino"/>
    <s v="Casual"/>
    <s v="NB"/>
    <s v="-"/>
    <n v="3"/>
    <s v="F9"/>
    <x v="1"/>
    <s v="Centro"/>
    <x v="1"/>
    <s v="C35"/>
    <x v="34"/>
    <s v="Bosque Itaju"/>
    <s v="P. Prudente"/>
  </r>
  <r>
    <n v="158"/>
    <x v="227"/>
    <x v="8"/>
    <x v="42"/>
    <s v="P13"/>
    <x v="18"/>
    <s v="Feminino"/>
    <s v="Corrida"/>
    <s v="NB"/>
    <s v="Corrida"/>
    <n v="1"/>
    <s v="F3"/>
    <x v="2"/>
    <s v="Vila Aurélio"/>
    <x v="1"/>
    <s v="C47"/>
    <x v="10"/>
    <s v="Vila Boa Vista"/>
    <s v="P. Prudente"/>
  </r>
  <r>
    <n v="157"/>
    <x v="228"/>
    <x v="8"/>
    <x v="24"/>
    <s v="P12"/>
    <x v="19"/>
    <s v="Ambos"/>
    <s v="Corrida e Lazer"/>
    <s v="Nike"/>
    <s v="Corrida"/>
    <n v="3"/>
    <s v="F4"/>
    <x v="4"/>
    <s v="Jardim São Bento"/>
    <x v="0"/>
    <s v="C16"/>
    <x v="3"/>
    <s v="Centro"/>
    <s v="Alv.Machado"/>
  </r>
  <r>
    <n v="156"/>
    <x v="229"/>
    <x v="8"/>
    <x v="26"/>
    <s v="P11"/>
    <x v="20"/>
    <s v="Masculino"/>
    <s v="Esporte"/>
    <s v="Nike"/>
    <s v="Geral"/>
    <n v="2"/>
    <s v="F7"/>
    <x v="5"/>
    <s v="Cecap"/>
    <x v="0"/>
    <s v="C1"/>
    <x v="43"/>
    <s v="Centro"/>
    <s v="Alv. Machado"/>
  </r>
  <r>
    <n v="155"/>
    <x v="230"/>
    <x v="8"/>
    <x v="18"/>
    <s v="P10"/>
    <x v="21"/>
    <s v="Masculino"/>
    <s v="Esporte e Lazer"/>
    <s v="Nike"/>
    <s v="Geral"/>
    <n v="1"/>
    <s v="F2"/>
    <x v="6"/>
    <s v="Jardim paulista"/>
    <x v="0"/>
    <s v="C47"/>
    <x v="10"/>
    <s v="Vila Boa Vista"/>
    <s v="P. Prudente"/>
  </r>
  <r>
    <n v="154"/>
    <x v="231"/>
    <x v="8"/>
    <x v="0"/>
    <s v="P9"/>
    <x v="0"/>
    <s v="Ambos"/>
    <s v="Lazer"/>
    <s v="Adidas"/>
    <s v="Geral"/>
    <n v="2"/>
    <s v="F1"/>
    <x v="0"/>
    <s v="Jardim São Bento"/>
    <x v="0"/>
    <s v="C16"/>
    <x v="3"/>
    <s v="Centro"/>
    <s v="Alv.Machado"/>
  </r>
  <r>
    <n v="153"/>
    <x v="232"/>
    <x v="8"/>
    <x v="28"/>
    <s v="P8"/>
    <x v="1"/>
    <s v="Feminino"/>
    <s v="Esporte"/>
    <s v="Adidas"/>
    <s v="Musculaçao"/>
    <n v="1"/>
    <s v="F2"/>
    <x v="6"/>
    <s v="Jardim paulista"/>
    <x v="0"/>
    <s v="C30"/>
    <x v="35"/>
    <s v="São José"/>
    <s v="P. Prudente"/>
  </r>
  <r>
    <n v="152"/>
    <x v="233"/>
    <x v="8"/>
    <x v="2"/>
    <s v="P7"/>
    <x v="2"/>
    <s v="Masculino"/>
    <s v="Esporte e Lazer"/>
    <s v="Adidas"/>
    <s v="Corrida"/>
    <n v="1"/>
    <s v="F4"/>
    <x v="4"/>
    <s v="Jardim São Bento"/>
    <x v="0"/>
    <s v="C39"/>
    <x v="48"/>
    <s v="Jardim Santa Olga"/>
    <s v="P. Prudente"/>
  </r>
  <r>
    <n v="151"/>
    <x v="234"/>
    <x v="8"/>
    <x v="20"/>
    <s v="P6"/>
    <x v="3"/>
    <s v="Masculino"/>
    <s v="Esporte e Lazer"/>
    <s v="Nike"/>
    <s v="Geral"/>
    <n v="1"/>
    <s v="F5"/>
    <x v="8"/>
    <s v="Ana jacinta"/>
    <x v="0"/>
    <s v="C2"/>
    <x v="45"/>
    <s v="São José"/>
    <s v="P. Prudente"/>
  </r>
  <r>
    <n v="150"/>
    <x v="235"/>
    <x v="8"/>
    <x v="0"/>
    <s v="P5"/>
    <x v="4"/>
    <s v="Ambos"/>
    <s v="Esporte e Lazer"/>
    <s v="Nike"/>
    <s v="Geral"/>
    <n v="3"/>
    <s v="F1"/>
    <x v="0"/>
    <s v="Jardim São Bento"/>
    <x v="0"/>
    <s v="C3"/>
    <x v="22"/>
    <s v="Raio do Sol"/>
    <s v="P. Prudente"/>
  </r>
  <r>
    <n v="149"/>
    <x v="236"/>
    <x v="8"/>
    <x v="36"/>
    <s v="P4"/>
    <x v="5"/>
    <s v="Ambos"/>
    <s v="Corrida e Lazer"/>
    <s v="Nike"/>
    <s v="Geral"/>
    <n v="1"/>
    <s v="F7"/>
    <x v="5"/>
    <s v="Cecap"/>
    <x v="0"/>
    <s v="C24"/>
    <x v="8"/>
    <s v="São José"/>
    <s v="P. Prudente"/>
  </r>
  <r>
    <n v="148"/>
    <x v="237"/>
    <x v="8"/>
    <x v="10"/>
    <s v="P3"/>
    <x v="6"/>
    <s v="Ambos"/>
    <s v="Musculaçao"/>
    <s v="Strongbrand"/>
    <s v="Musculaçao"/>
    <n v="3"/>
    <s v="F9"/>
    <x v="1"/>
    <s v="Centro"/>
    <x v="1"/>
    <s v="C3"/>
    <x v="22"/>
    <s v="Raio do Sol"/>
    <s v="P. Prudente"/>
  </r>
  <r>
    <n v="147"/>
    <x v="238"/>
    <x v="8"/>
    <x v="30"/>
    <s v="P2"/>
    <x v="7"/>
    <s v="Ambos"/>
    <s v="Musculaçao"/>
    <s v="Strongbrand"/>
    <s v="Musculaçao"/>
    <n v="1"/>
    <s v="F8"/>
    <x v="7"/>
    <s v="Brasil Novo"/>
    <x v="3"/>
    <s v="C2"/>
    <x v="45"/>
    <s v="São José"/>
    <s v="P. Prudente"/>
  </r>
  <r>
    <n v="146"/>
    <x v="239"/>
    <x v="8"/>
    <x v="17"/>
    <s v="P1"/>
    <x v="8"/>
    <s v="Ambos"/>
    <s v="Musculaçao"/>
    <s v="Strongbrand"/>
    <s v="Musculaçao"/>
    <n v="2"/>
    <s v="F3"/>
    <x v="2"/>
    <s v="Vila Aurélio"/>
    <x v="1"/>
    <s v="C41"/>
    <x v="15"/>
    <s v="Jardim Santana"/>
    <s v="P. Prudente"/>
  </r>
  <r>
    <n v="145"/>
    <x v="240"/>
    <x v="8"/>
    <x v="38"/>
    <s v="P22"/>
    <x v="9"/>
    <s v="Ambos"/>
    <s v="Bicicletas"/>
    <s v="Caloi"/>
    <s v="Geral"/>
    <n v="2"/>
    <s v="F9"/>
    <x v="1"/>
    <s v="Centro"/>
    <x v="1"/>
    <s v="C29"/>
    <x v="1"/>
    <s v="Centro"/>
    <s v="Alv.Machado"/>
  </r>
  <r>
    <n v="144"/>
    <x v="241"/>
    <x v="8"/>
    <x v="47"/>
    <s v="P21"/>
    <x v="10"/>
    <s v="Ambos"/>
    <s v="Bicicletas"/>
    <s v="Caloi"/>
    <s v="Geral"/>
    <n v="3"/>
    <s v="F5"/>
    <x v="8"/>
    <s v="Ana jacinta"/>
    <x v="0"/>
    <s v="C25"/>
    <x v="14"/>
    <s v="São Lucas"/>
    <s v="P. Bernardes "/>
  </r>
  <r>
    <n v="143"/>
    <x v="242"/>
    <x v="8"/>
    <x v="39"/>
    <s v="P20"/>
    <x v="11"/>
    <s v="Ambos"/>
    <s v="Bermuda  "/>
    <s v="Puma"/>
    <s v="-"/>
    <n v="2"/>
    <s v="F8"/>
    <x v="7"/>
    <s v="Brasil Novo"/>
    <x v="3"/>
    <s v="C17"/>
    <x v="47"/>
    <s v="Raio do Sol"/>
    <s v="Martinopolis"/>
  </r>
  <r>
    <n v="142"/>
    <x v="216"/>
    <x v="8"/>
    <x v="24"/>
    <s v="P19"/>
    <x v="12"/>
    <s v="Masculino"/>
    <s v="Camisas"/>
    <s v="Puma"/>
    <s v="Corrida e Lazer"/>
    <n v="3"/>
    <s v="F8"/>
    <x v="7"/>
    <s v="Brasil Novo"/>
    <x v="3"/>
    <s v="C50"/>
    <x v="2"/>
    <s v="Matadouro"/>
    <s v="Alv.Machado"/>
  </r>
  <r>
    <n v="141"/>
    <x v="217"/>
    <x v="8"/>
    <x v="11"/>
    <s v="P18"/>
    <x v="13"/>
    <s v="Ambos"/>
    <s v="Esporte e Lazer"/>
    <s v="Nike"/>
    <s v="Futebol"/>
    <n v="1"/>
    <s v="F2"/>
    <x v="6"/>
    <s v="Jardim paulista"/>
    <x v="0"/>
    <s v="C30"/>
    <x v="35"/>
    <s v="São José"/>
    <s v="P. Prudente"/>
  </r>
  <r>
    <n v="140"/>
    <x v="218"/>
    <x v="8"/>
    <x v="12"/>
    <s v="P17"/>
    <x v="14"/>
    <s v="Ambos"/>
    <s v="Esporte"/>
    <s v="NB"/>
    <s v="Academia"/>
    <n v="2"/>
    <s v="F7"/>
    <x v="5"/>
    <s v="Cecap"/>
    <x v="0"/>
    <s v="C31"/>
    <x v="18"/>
    <s v="Bela Vista"/>
    <s v="P. Bernardes "/>
  </r>
  <r>
    <n v="139"/>
    <x v="219"/>
    <x v="8"/>
    <x v="41"/>
    <s v="P16"/>
    <x v="15"/>
    <s v="Masculino"/>
    <s v="Lazer e Casual"/>
    <s v="NB"/>
    <s v="-"/>
    <n v="2"/>
    <s v="F7"/>
    <x v="5"/>
    <s v="Cecap"/>
    <x v="0"/>
    <s v="C11"/>
    <x v="16"/>
    <s v="Bela Vista"/>
    <s v="P. Prudente"/>
  </r>
  <r>
    <n v="138"/>
    <x v="220"/>
    <x v="8"/>
    <x v="46"/>
    <s v="P15"/>
    <x v="16"/>
    <s v="Ambos"/>
    <s v="Casual"/>
    <s v="Nike"/>
    <s v="-"/>
    <n v="2"/>
    <s v="F4"/>
    <x v="4"/>
    <s v="Jardim São Bento"/>
    <x v="0"/>
    <s v="C44"/>
    <x v="30"/>
    <s v="Vila Áurea"/>
    <s v="P. Prudente"/>
  </r>
  <r>
    <n v="137"/>
    <x v="221"/>
    <x v="8"/>
    <x v="35"/>
    <s v="P14"/>
    <x v="17"/>
    <s v="Feminino"/>
    <s v="Casual"/>
    <s v="NB"/>
    <s v="-"/>
    <n v="2"/>
    <s v="F9"/>
    <x v="1"/>
    <s v="Centro"/>
    <x v="1"/>
    <s v="C20"/>
    <x v="9"/>
    <s v="Bela Vista"/>
    <s v="P. Bernardes "/>
  </r>
  <r>
    <n v="136"/>
    <x v="222"/>
    <x v="8"/>
    <x v="42"/>
    <s v="P13"/>
    <x v="18"/>
    <s v="Feminino"/>
    <s v="Corrida"/>
    <s v="NB"/>
    <s v="Corrida"/>
    <n v="1"/>
    <s v="F3"/>
    <x v="2"/>
    <s v="Vila Aurélio"/>
    <x v="1"/>
    <s v="C41"/>
    <x v="15"/>
    <s v="Jardim Santana"/>
    <s v="P. Prudente"/>
  </r>
  <r>
    <n v="135"/>
    <x v="238"/>
    <x v="8"/>
    <x v="17"/>
    <s v="P12"/>
    <x v="19"/>
    <s v="Ambos"/>
    <s v="Corrida e Lazer"/>
    <s v="Nike"/>
    <s v="Corrida"/>
    <n v="1"/>
    <s v="F9"/>
    <x v="1"/>
    <s v="Centro"/>
    <x v="1"/>
    <s v="C31"/>
    <x v="18"/>
    <s v="Bela Vista"/>
    <s v="P. Bernardes "/>
  </r>
  <r>
    <n v="134"/>
    <x v="239"/>
    <x v="8"/>
    <x v="43"/>
    <s v="P11"/>
    <x v="20"/>
    <s v="Masculino"/>
    <s v="Esporte"/>
    <s v="Nike"/>
    <s v="Geral"/>
    <n v="3"/>
    <s v="F9"/>
    <x v="1"/>
    <s v="Centro"/>
    <x v="1"/>
    <s v="C2"/>
    <x v="45"/>
    <s v="São José"/>
    <s v="P. Prudente"/>
  </r>
  <r>
    <n v="133"/>
    <x v="240"/>
    <x v="8"/>
    <x v="44"/>
    <s v="P10"/>
    <x v="21"/>
    <s v="Masculino"/>
    <s v="Esporte e Lazer"/>
    <s v="Nike"/>
    <s v="Geral"/>
    <n v="3"/>
    <s v="F9"/>
    <x v="1"/>
    <s v="Centro"/>
    <x v="1"/>
    <s v="C4"/>
    <x v="46"/>
    <s v="Centro"/>
    <s v="P. Bernardes "/>
  </r>
  <r>
    <n v="132"/>
    <x v="241"/>
    <x v="8"/>
    <x v="0"/>
    <s v="P9"/>
    <x v="0"/>
    <s v="Ambos"/>
    <s v="Lazer"/>
    <s v="Adidas"/>
    <s v="Geral"/>
    <n v="2"/>
    <s v="F5"/>
    <x v="8"/>
    <s v="Ana jacinta"/>
    <x v="0"/>
    <s v="C40"/>
    <x v="37"/>
    <s v="Jardim Santa Paula"/>
    <s v="P. Prudente"/>
  </r>
  <r>
    <n v="131"/>
    <x v="242"/>
    <x v="8"/>
    <x v="28"/>
    <s v="P8"/>
    <x v="1"/>
    <s v="Feminino"/>
    <s v="Esporte"/>
    <s v="Adidas"/>
    <s v="Musculaçao"/>
    <n v="1"/>
    <s v="F3"/>
    <x v="2"/>
    <s v="Vila Aurélio"/>
    <x v="1"/>
    <s v="C1"/>
    <x v="43"/>
    <s v="Centro"/>
    <s v="Alv. Machado"/>
  </r>
  <r>
    <n v="130"/>
    <x v="216"/>
    <x v="8"/>
    <x v="0"/>
    <s v="P7"/>
    <x v="2"/>
    <s v="Masculino"/>
    <s v="Esporte e Lazer"/>
    <s v="Adidas"/>
    <s v="Corrida"/>
    <n v="3"/>
    <s v="F3"/>
    <x v="2"/>
    <s v="Vila Aurélio"/>
    <x v="1"/>
    <s v="C40"/>
    <x v="37"/>
    <s v="Jardim Santa Paula"/>
    <s v="P. Prudente"/>
  </r>
  <r>
    <n v="129"/>
    <x v="217"/>
    <x v="8"/>
    <x v="20"/>
    <s v="P6"/>
    <x v="3"/>
    <s v="Masculino"/>
    <s v="Esporte e Lazer"/>
    <s v="Nike"/>
    <s v="Geral"/>
    <n v="1"/>
    <s v="F8"/>
    <x v="7"/>
    <s v="Brasil Novo"/>
    <x v="3"/>
    <s v="C20"/>
    <x v="9"/>
    <s v="Bela Vista"/>
    <s v="P. Bernardes "/>
  </r>
  <r>
    <n v="128"/>
    <x v="218"/>
    <x v="8"/>
    <x v="0"/>
    <s v="P5"/>
    <x v="4"/>
    <s v="Ambos"/>
    <s v="Esporte e Lazer"/>
    <s v="Nike"/>
    <s v="Geral"/>
    <n v="3"/>
    <s v="F1"/>
    <x v="0"/>
    <s v="Jardim São Bento"/>
    <x v="0"/>
    <s v="C41"/>
    <x v="15"/>
    <s v="Jardim Santana"/>
    <s v="P. Prudente"/>
  </r>
  <r>
    <n v="127"/>
    <x v="219"/>
    <x v="8"/>
    <x v="21"/>
    <s v="P4"/>
    <x v="5"/>
    <s v="Ambos"/>
    <s v="Corrida e Lazer"/>
    <s v="Nike"/>
    <s v="Geral"/>
    <n v="3"/>
    <s v="F2"/>
    <x v="6"/>
    <s v="Jardim paulista"/>
    <x v="0"/>
    <s v="C44"/>
    <x v="30"/>
    <s v="Vila Áurea"/>
    <s v="P. Prudente"/>
  </r>
  <r>
    <n v="126"/>
    <x v="220"/>
    <x v="8"/>
    <x v="5"/>
    <s v="P3"/>
    <x v="6"/>
    <s v="Ambos"/>
    <s v="Musculaçao"/>
    <s v="Strongbrand"/>
    <s v="Musculaçao"/>
    <n v="2"/>
    <s v="F4"/>
    <x v="4"/>
    <s v="Jardim São Bento"/>
    <x v="0"/>
    <s v="C22"/>
    <x v="13"/>
    <s v="Raio do Sol"/>
    <s v="P. Prudente"/>
  </r>
  <r>
    <n v="125"/>
    <x v="221"/>
    <x v="8"/>
    <x v="6"/>
    <s v="P2"/>
    <x v="7"/>
    <s v="Ambos"/>
    <s v="Musculaçao"/>
    <s v="Strongbrand"/>
    <s v="Musculaçao"/>
    <n v="2"/>
    <s v="F9"/>
    <x v="1"/>
    <s v="Centro"/>
    <x v="1"/>
    <s v="C32"/>
    <x v="11"/>
    <s v="Matadouro"/>
    <s v="P. Prudente"/>
  </r>
  <r>
    <n v="124"/>
    <x v="222"/>
    <x v="8"/>
    <x v="17"/>
    <s v="P1"/>
    <x v="8"/>
    <s v="Ambos"/>
    <s v="Musculaçao"/>
    <s v="Strongbrand"/>
    <s v="Musculaçao"/>
    <n v="2"/>
    <s v="F4"/>
    <x v="4"/>
    <s v="Jardim São Bento"/>
    <x v="0"/>
    <s v="C20"/>
    <x v="9"/>
    <s v="Bela Vista"/>
    <s v="P. Bernardes "/>
  </r>
  <r>
    <n v="123"/>
    <x v="243"/>
    <x v="9"/>
    <x v="4"/>
    <s v="P14"/>
    <x v="17"/>
    <s v="Feminino"/>
    <s v="Casual"/>
    <s v="NB"/>
    <s v="-"/>
    <n v="1"/>
    <s v="F7"/>
    <x v="5"/>
    <s v="Cecap"/>
    <x v="0"/>
    <s v="C20"/>
    <x v="9"/>
    <s v="Bela Vista"/>
    <s v="P. Bernardes "/>
  </r>
  <r>
    <n v="122"/>
    <x v="244"/>
    <x v="9"/>
    <x v="42"/>
    <s v="P13"/>
    <x v="18"/>
    <s v="Feminino"/>
    <s v="Corrida"/>
    <s v="NB"/>
    <s v="Corrida"/>
    <n v="1"/>
    <s v="F5"/>
    <x v="8"/>
    <s v="Ana jacinta"/>
    <x v="0"/>
    <s v="C25"/>
    <x v="14"/>
    <s v="São Lucas"/>
    <s v="P. Bernardes "/>
  </r>
  <r>
    <n v="121"/>
    <x v="245"/>
    <x v="9"/>
    <x v="24"/>
    <s v="P12"/>
    <x v="19"/>
    <s v="Ambos"/>
    <s v="Corrida e Lazer"/>
    <s v="Nike"/>
    <s v="Corrida"/>
    <n v="3"/>
    <s v="F7"/>
    <x v="5"/>
    <s v="Cecap"/>
    <x v="0"/>
    <s v="C48"/>
    <x v="40"/>
    <s v="Vila Boa Vista"/>
    <s v="P. Prudente"/>
  </r>
  <r>
    <n v="120"/>
    <x v="246"/>
    <x v="9"/>
    <x v="26"/>
    <s v="P11"/>
    <x v="20"/>
    <s v="Masculino"/>
    <s v="Esporte"/>
    <s v="Nike"/>
    <s v="Geral"/>
    <n v="2"/>
    <s v="F8"/>
    <x v="7"/>
    <s v="Brasil Novo"/>
    <x v="3"/>
    <s v="C7"/>
    <x v="23"/>
    <s v="Matadouro"/>
    <s v="P. Prudente"/>
  </r>
  <r>
    <n v="119"/>
    <x v="247"/>
    <x v="9"/>
    <x v="18"/>
    <s v="P10"/>
    <x v="21"/>
    <s v="Masculino"/>
    <s v="Esporte e Lazer"/>
    <s v="Nike"/>
    <s v="Geral"/>
    <n v="1"/>
    <s v="F4"/>
    <x v="4"/>
    <s v="Jardim São Bento"/>
    <x v="0"/>
    <s v="C13"/>
    <x v="21"/>
    <s v="Raio do Sol"/>
    <s v="P. Prudente"/>
  </r>
  <r>
    <n v="118"/>
    <x v="248"/>
    <x v="9"/>
    <x v="16"/>
    <s v="P9"/>
    <x v="0"/>
    <s v="Ambos"/>
    <s v="Lazer"/>
    <s v="Adidas"/>
    <s v="Geral"/>
    <n v="3"/>
    <s v="F5"/>
    <x v="8"/>
    <s v="Ana jacinta"/>
    <x v="0"/>
    <s v="C45"/>
    <x v="26"/>
    <s v="Vila Aurélio"/>
    <s v="P. Prudente"/>
  </r>
  <r>
    <n v="117"/>
    <x v="249"/>
    <x v="9"/>
    <x v="19"/>
    <s v="P8"/>
    <x v="1"/>
    <s v="Feminino"/>
    <s v="Esporte"/>
    <s v="Adidas"/>
    <s v="Musculaçao"/>
    <n v="3"/>
    <s v="F3"/>
    <x v="2"/>
    <s v="Vila Aurélio"/>
    <x v="1"/>
    <s v="C50"/>
    <x v="2"/>
    <s v="Matadouro"/>
    <s v="Alv.Machado"/>
  </r>
  <r>
    <n v="116"/>
    <x v="250"/>
    <x v="9"/>
    <x v="2"/>
    <s v="P7"/>
    <x v="2"/>
    <s v="Masculino"/>
    <s v="Esporte e Lazer"/>
    <s v="Adidas"/>
    <s v="Corrida"/>
    <n v="1"/>
    <s v="F8"/>
    <x v="7"/>
    <s v="Brasil Novo"/>
    <x v="3"/>
    <s v="C28"/>
    <x v="29"/>
    <s v="Raio do Sol"/>
    <s v="Martinopolis"/>
  </r>
  <r>
    <n v="115"/>
    <x v="251"/>
    <x v="9"/>
    <x v="8"/>
    <s v="P6"/>
    <x v="3"/>
    <s v="Masculino"/>
    <s v="Esporte e Lazer"/>
    <s v="Nike"/>
    <s v="Geral"/>
    <n v="2"/>
    <s v="F6"/>
    <x v="3"/>
    <s v="Vila Boa Vista"/>
    <x v="2"/>
    <s v="C21"/>
    <x v="7"/>
    <s v="Matadouro"/>
    <s v="P. Prudente"/>
  </r>
  <r>
    <n v="114"/>
    <x v="252"/>
    <x v="9"/>
    <x v="20"/>
    <s v="P5"/>
    <x v="4"/>
    <s v="Ambos"/>
    <s v="Esporte e Lazer"/>
    <s v="Nike"/>
    <s v="Geral"/>
    <n v="2"/>
    <s v="F1"/>
    <x v="0"/>
    <s v="Jardim São Bento"/>
    <x v="0"/>
    <s v="C34"/>
    <x v="44"/>
    <s v="Jardim Santa Elisa"/>
    <s v="P. Prudente"/>
  </r>
  <r>
    <n v="113"/>
    <x v="253"/>
    <x v="9"/>
    <x v="4"/>
    <s v="P4"/>
    <x v="5"/>
    <s v="Ambos"/>
    <s v="Corrida e Lazer"/>
    <s v="Nike"/>
    <s v="Geral"/>
    <n v="2"/>
    <s v="F2"/>
    <x v="6"/>
    <s v="Jardim paulista"/>
    <x v="0"/>
    <s v="C20"/>
    <x v="9"/>
    <s v="Bela Vista"/>
    <s v="P. Bernardes "/>
  </r>
  <r>
    <n v="112"/>
    <x v="254"/>
    <x v="9"/>
    <x v="5"/>
    <s v="P3"/>
    <x v="6"/>
    <s v="Ambos"/>
    <s v="Musculaçao"/>
    <s v="Strongbrand"/>
    <s v="Musculaçao"/>
    <n v="2"/>
    <s v="F6"/>
    <x v="3"/>
    <s v="Vila Boa Vista"/>
    <x v="2"/>
    <s v="C42"/>
    <x v="25"/>
    <s v="Jardim São Bento"/>
    <s v="P. Prudente"/>
  </r>
  <r>
    <n v="111"/>
    <x v="255"/>
    <x v="9"/>
    <x v="30"/>
    <s v="P2"/>
    <x v="7"/>
    <s v="Ambos"/>
    <s v="Musculaçao"/>
    <s v="Strongbrand"/>
    <s v="Musculaçao"/>
    <n v="1"/>
    <s v="F1"/>
    <x v="0"/>
    <s v="Jardim São Bento"/>
    <x v="0"/>
    <s v="C27"/>
    <x v="12"/>
    <s v="Centro"/>
    <s v="Alv.Machado"/>
  </r>
  <r>
    <n v="110"/>
    <x v="256"/>
    <x v="9"/>
    <x v="31"/>
    <s v="P1"/>
    <x v="8"/>
    <s v="Ambos"/>
    <s v="Musculaçao"/>
    <s v="Strongbrand"/>
    <s v="Musculaçao"/>
    <n v="3"/>
    <s v="F3"/>
    <x v="2"/>
    <s v="Vila Aurélio"/>
    <x v="1"/>
    <s v="C22"/>
    <x v="13"/>
    <s v="Raio do Sol"/>
    <s v="P. Prudente"/>
  </r>
  <r>
    <n v="109"/>
    <x v="257"/>
    <x v="9"/>
    <x v="8"/>
    <s v="P22"/>
    <x v="9"/>
    <s v="Ambos"/>
    <s v="Bicicletas"/>
    <s v="Caloi"/>
    <s v="Geral"/>
    <n v="1"/>
    <s v="F7"/>
    <x v="5"/>
    <s v="Cecap"/>
    <x v="0"/>
    <s v="C8"/>
    <x v="39"/>
    <s v="Centro"/>
    <s v="Martinopolis"/>
  </r>
  <r>
    <n v="108"/>
    <x v="258"/>
    <x v="9"/>
    <x v="9"/>
    <s v="P21"/>
    <x v="10"/>
    <s v="Ambos"/>
    <s v="Bicicletas"/>
    <s v="Caloi"/>
    <s v="Geral"/>
    <n v="1"/>
    <s v="F8"/>
    <x v="7"/>
    <s v="Brasil Novo"/>
    <x v="3"/>
    <s v="C50"/>
    <x v="2"/>
    <s v="Matadouro"/>
    <s v="Alv.Machado"/>
  </r>
  <r>
    <n v="107"/>
    <x v="259"/>
    <x v="9"/>
    <x v="23"/>
    <s v="P20"/>
    <x v="11"/>
    <s v="Ambos"/>
    <s v="Bermuda  "/>
    <s v="Puma"/>
    <s v="-"/>
    <n v="3"/>
    <s v="F7"/>
    <x v="5"/>
    <s v="Cecap"/>
    <x v="0"/>
    <s v="C34"/>
    <x v="44"/>
    <s v="Jardim Santa Elisa"/>
    <s v="P. Prudente"/>
  </r>
  <r>
    <n v="106"/>
    <x v="260"/>
    <x v="9"/>
    <x v="24"/>
    <s v="P19"/>
    <x v="12"/>
    <s v="Masculino"/>
    <s v="Camisas"/>
    <s v="Puma"/>
    <s v="Corrida e Lazer"/>
    <n v="3"/>
    <s v="F1"/>
    <x v="0"/>
    <s v="Jardim São Bento"/>
    <x v="0"/>
    <s v="C37"/>
    <x v="27"/>
    <s v="Cecap"/>
    <s v="P. Prudente"/>
  </r>
  <r>
    <n v="105"/>
    <x v="261"/>
    <x v="9"/>
    <x v="40"/>
    <s v="P18"/>
    <x v="13"/>
    <s v="Ambos"/>
    <s v="Esporte e Lazer"/>
    <s v="Nike"/>
    <s v="Futebol"/>
    <n v="3"/>
    <s v="F6"/>
    <x v="3"/>
    <s v="Vila Boa Vista"/>
    <x v="2"/>
    <s v="C41"/>
    <x v="15"/>
    <s v="Jardim Santana"/>
    <s v="P. Prudente"/>
  </r>
  <r>
    <n v="104"/>
    <x v="262"/>
    <x v="9"/>
    <x v="42"/>
    <s v="P17"/>
    <x v="14"/>
    <s v="Ambos"/>
    <s v="Esporte"/>
    <s v="NB"/>
    <s v="Academia"/>
    <n v="3"/>
    <s v="F1"/>
    <x v="0"/>
    <s v="Jardim São Bento"/>
    <x v="0"/>
    <s v="C41"/>
    <x v="15"/>
    <s v="Jardim Santana"/>
    <s v="P. Prudente"/>
  </r>
  <r>
    <n v="103"/>
    <x v="263"/>
    <x v="9"/>
    <x v="13"/>
    <s v="P16"/>
    <x v="15"/>
    <s v="Masculino"/>
    <s v="Lazer e Casual"/>
    <s v="NB"/>
    <s v="-"/>
    <n v="1"/>
    <s v="F3"/>
    <x v="2"/>
    <s v="Vila Aurélio"/>
    <x v="1"/>
    <s v="C36"/>
    <x v="38"/>
    <s v="Brasil Novo"/>
    <s v="P. Bernades"/>
  </r>
  <r>
    <n v="102"/>
    <x v="264"/>
    <x v="9"/>
    <x v="14"/>
    <s v="P15"/>
    <x v="16"/>
    <s v="Ambos"/>
    <s v="Casual"/>
    <s v="Nike"/>
    <s v="-"/>
    <n v="1"/>
    <s v="F2"/>
    <x v="6"/>
    <s v="Jardim paulista"/>
    <x v="0"/>
    <s v="C3"/>
    <x v="22"/>
    <s v="Raio do Sol"/>
    <s v="P. Prudente"/>
  </r>
  <r>
    <n v="101"/>
    <x v="265"/>
    <x v="9"/>
    <x v="15"/>
    <s v="P14"/>
    <x v="17"/>
    <s v="Feminino"/>
    <s v="Casual"/>
    <s v="NB"/>
    <s v="-"/>
    <n v="3"/>
    <s v="F4"/>
    <x v="4"/>
    <s v="Jardim São Bento"/>
    <x v="0"/>
    <s v="C2"/>
    <x v="45"/>
    <s v="São José"/>
    <s v="P. Prudente"/>
  </r>
  <r>
    <n v="100"/>
    <x v="266"/>
    <x v="9"/>
    <x v="25"/>
    <s v="P13"/>
    <x v="18"/>
    <s v="Feminino"/>
    <s v="Corrida"/>
    <s v="NB"/>
    <s v="Corrida"/>
    <n v="3"/>
    <s v="F4"/>
    <x v="4"/>
    <s v="Jardim São Bento"/>
    <x v="0"/>
    <s v="C44"/>
    <x v="30"/>
    <s v="Vila Áurea"/>
    <s v="P. Prudente"/>
  </r>
  <r>
    <n v="99"/>
    <x v="267"/>
    <x v="9"/>
    <x v="24"/>
    <s v="P12"/>
    <x v="19"/>
    <s v="Ambos"/>
    <s v="Corrida e Lazer"/>
    <s v="Nike"/>
    <s v="Corrida"/>
    <n v="3"/>
    <s v="F3"/>
    <x v="2"/>
    <s v="Vila Aurélio"/>
    <x v="1"/>
    <s v="C38"/>
    <x v="4"/>
    <s v="Centro"/>
    <s v="P. Prudente"/>
  </r>
  <r>
    <n v="98"/>
    <x v="268"/>
    <x v="9"/>
    <x v="43"/>
    <s v="P11"/>
    <x v="20"/>
    <s v="Masculino"/>
    <s v="Esporte"/>
    <s v="Nike"/>
    <s v="Geral"/>
    <n v="3"/>
    <s v="F3"/>
    <x v="2"/>
    <s v="Vila Aurélio"/>
    <x v="1"/>
    <s v="C33"/>
    <x v="36"/>
    <s v="Jardim Santa Clara"/>
    <s v="P. Prudente"/>
  </r>
  <r>
    <n v="97"/>
    <x v="269"/>
    <x v="9"/>
    <x v="18"/>
    <s v="P10"/>
    <x v="21"/>
    <s v="Masculino"/>
    <s v="Esporte e Lazer"/>
    <s v="Nike"/>
    <s v="Geral"/>
    <n v="1"/>
    <s v="F8"/>
    <x v="7"/>
    <s v="Brasil Novo"/>
    <x v="3"/>
    <s v="C46"/>
    <x v="31"/>
    <s v="Vila Barbeiro"/>
    <s v="P. Prudente"/>
  </r>
  <r>
    <n v="96"/>
    <x v="270"/>
    <x v="9"/>
    <x v="16"/>
    <s v="P9"/>
    <x v="0"/>
    <s v="Ambos"/>
    <s v="Lazer"/>
    <s v="Adidas"/>
    <s v="Geral"/>
    <n v="3"/>
    <s v="F8"/>
    <x v="7"/>
    <s v="Brasil Novo"/>
    <x v="3"/>
    <s v="C31"/>
    <x v="18"/>
    <s v="Bela Vista"/>
    <s v="P. Bernardes "/>
  </r>
  <r>
    <n v="95"/>
    <x v="271"/>
    <x v="9"/>
    <x v="28"/>
    <s v="P8"/>
    <x v="1"/>
    <s v="Feminino"/>
    <s v="Esporte"/>
    <s v="Adidas"/>
    <s v="Musculaçao"/>
    <n v="1"/>
    <s v="F6"/>
    <x v="3"/>
    <s v="Vila Boa Vista"/>
    <x v="2"/>
    <s v="C14"/>
    <x v="28"/>
    <s v="São Lucas"/>
    <s v="P. Bernardes "/>
  </r>
  <r>
    <n v="94"/>
    <x v="272"/>
    <x v="9"/>
    <x v="0"/>
    <s v="P7"/>
    <x v="2"/>
    <s v="Masculino"/>
    <s v="Esporte e Lazer"/>
    <s v="Adidas"/>
    <s v="Corrida"/>
    <n v="3"/>
    <s v="F2"/>
    <x v="6"/>
    <s v="Jardim paulista"/>
    <x v="0"/>
    <s v="C20"/>
    <x v="9"/>
    <s v="Bela Vista"/>
    <s v="P. Bernardes "/>
  </r>
  <r>
    <n v="93"/>
    <x v="267"/>
    <x v="9"/>
    <x v="8"/>
    <s v="P6"/>
    <x v="3"/>
    <s v="Masculino"/>
    <s v="Esporte e Lazer"/>
    <s v="Nike"/>
    <s v="Geral"/>
    <n v="2"/>
    <s v="F9"/>
    <x v="1"/>
    <s v="Centro"/>
    <x v="1"/>
    <s v="C26"/>
    <x v="42"/>
    <s v="Matadouro"/>
    <s v="P. Prudente"/>
  </r>
  <r>
    <n v="92"/>
    <x v="268"/>
    <x v="9"/>
    <x v="20"/>
    <s v="P5"/>
    <x v="4"/>
    <s v="Ambos"/>
    <s v="Esporte e Lazer"/>
    <s v="Nike"/>
    <s v="Geral"/>
    <n v="2"/>
    <s v="F6"/>
    <x v="3"/>
    <s v="Vila Boa Vista"/>
    <x v="2"/>
    <s v="C9"/>
    <x v="32"/>
    <s v="São Lucas"/>
    <s v="P. Bernardes "/>
  </r>
  <r>
    <n v="91"/>
    <x v="269"/>
    <x v="9"/>
    <x v="21"/>
    <s v="P4"/>
    <x v="5"/>
    <s v="Ambos"/>
    <s v="Corrida e Lazer"/>
    <s v="Nike"/>
    <s v="Geral"/>
    <n v="3"/>
    <s v="F1"/>
    <x v="0"/>
    <s v="Jardim São Bento"/>
    <x v="0"/>
    <s v="C4"/>
    <x v="46"/>
    <s v="Centro"/>
    <s v="P. Bernardes "/>
  </r>
  <r>
    <n v="90"/>
    <x v="270"/>
    <x v="9"/>
    <x v="29"/>
    <s v="P3"/>
    <x v="6"/>
    <s v="Ambos"/>
    <s v="Musculaçao"/>
    <s v="Strongbrand"/>
    <s v="Musculaçao"/>
    <n v="1"/>
    <s v="F6"/>
    <x v="3"/>
    <s v="Vila Boa Vista"/>
    <x v="2"/>
    <s v="C18"/>
    <x v="41"/>
    <s v="Centro"/>
    <s v="Alv.Machado"/>
  </r>
  <r>
    <n v="89"/>
    <x v="271"/>
    <x v="9"/>
    <x v="37"/>
    <s v="P2"/>
    <x v="7"/>
    <s v="Ambos"/>
    <s v="Musculaçao"/>
    <s v="Strongbrand"/>
    <s v="Musculaçao"/>
    <n v="3"/>
    <s v="F4"/>
    <x v="4"/>
    <s v="Jardim São Bento"/>
    <x v="0"/>
    <s v="C42"/>
    <x v="25"/>
    <s v="Jardim São Bento"/>
    <s v="P. Prudente"/>
  </r>
  <r>
    <n v="88"/>
    <x v="272"/>
    <x v="9"/>
    <x v="7"/>
    <s v="P1"/>
    <x v="8"/>
    <s v="Ambos"/>
    <s v="Musculaçao"/>
    <s v="Strongbrand"/>
    <s v="Musculaçao"/>
    <n v="1"/>
    <s v="F4"/>
    <x v="4"/>
    <s v="Jardim São Bento"/>
    <x v="0"/>
    <s v="C40"/>
    <x v="37"/>
    <s v="Jardim Santa Paula"/>
    <s v="P. Prudente"/>
  </r>
  <r>
    <n v="87"/>
    <x v="273"/>
    <x v="10"/>
    <x v="6"/>
    <s v="P2"/>
    <x v="7"/>
    <s v="Ambos"/>
    <s v="Musculaçao"/>
    <s v="Strongbrand"/>
    <s v="Musculaçao"/>
    <n v="2"/>
    <s v="F2"/>
    <x v="6"/>
    <s v="Jardim paulista"/>
    <x v="0"/>
    <s v="C42"/>
    <x v="25"/>
    <s v="Jardim São Bento"/>
    <s v="P. Prudente"/>
  </r>
  <r>
    <n v="86"/>
    <x v="274"/>
    <x v="10"/>
    <x v="17"/>
    <s v="P1"/>
    <x v="8"/>
    <s v="Ambos"/>
    <s v="Musculaçao"/>
    <s v="Strongbrand"/>
    <s v="Musculaçao"/>
    <n v="2"/>
    <s v="F3"/>
    <x v="2"/>
    <s v="Vila Aurélio"/>
    <x v="1"/>
    <s v="C35"/>
    <x v="34"/>
    <s v="Bosque Itaju"/>
    <s v="P. Prudente"/>
  </r>
  <r>
    <n v="85"/>
    <x v="275"/>
    <x v="10"/>
    <x v="8"/>
    <s v="P22"/>
    <x v="9"/>
    <s v="Ambos"/>
    <s v="Bicicletas"/>
    <s v="Caloi"/>
    <s v="Geral"/>
    <n v="1"/>
    <s v="F3"/>
    <x v="2"/>
    <s v="Vila Aurélio"/>
    <x v="1"/>
    <s v="C18"/>
    <x v="41"/>
    <s v="Centro"/>
    <s v="Alv.Machado"/>
  </r>
  <r>
    <n v="84"/>
    <x v="276"/>
    <x v="10"/>
    <x v="22"/>
    <s v="P21"/>
    <x v="10"/>
    <s v="Ambos"/>
    <s v="Bicicletas"/>
    <s v="Caloi"/>
    <s v="Geral"/>
    <n v="2"/>
    <s v="F4"/>
    <x v="4"/>
    <s v="Jardim São Bento"/>
    <x v="0"/>
    <s v="C41"/>
    <x v="15"/>
    <s v="Jardim Santana"/>
    <s v="P. Prudente"/>
  </r>
  <r>
    <n v="83"/>
    <x v="277"/>
    <x v="10"/>
    <x v="23"/>
    <s v="P20"/>
    <x v="11"/>
    <s v="Ambos"/>
    <s v="Bermuda  "/>
    <s v="Puma"/>
    <s v="-"/>
    <n v="3"/>
    <s v="F7"/>
    <x v="5"/>
    <s v="Cecap"/>
    <x v="0"/>
    <s v="C4"/>
    <x v="46"/>
    <s v="Centro"/>
    <s v="P. Bernardes "/>
  </r>
  <r>
    <n v="82"/>
    <x v="278"/>
    <x v="10"/>
    <x v="17"/>
    <s v="P19"/>
    <x v="12"/>
    <s v="Masculino"/>
    <s v="Camisas"/>
    <s v="Puma"/>
    <s v="Corrida e Lazer"/>
    <n v="1"/>
    <s v="F6"/>
    <x v="3"/>
    <s v="Vila Boa Vista"/>
    <x v="2"/>
    <s v="C9"/>
    <x v="32"/>
    <s v="São Lucas"/>
    <s v="P. Bernardes "/>
  </r>
  <r>
    <n v="81"/>
    <x v="279"/>
    <x v="10"/>
    <x v="11"/>
    <s v="P18"/>
    <x v="13"/>
    <s v="Ambos"/>
    <s v="Esporte e Lazer"/>
    <s v="Nike"/>
    <s v="Futebol"/>
    <n v="1"/>
    <s v="F2"/>
    <x v="6"/>
    <s v="Jardim paulista"/>
    <x v="0"/>
    <s v="C48"/>
    <x v="40"/>
    <s v="Vila Boa Vista"/>
    <s v="P. Prudente"/>
  </r>
  <r>
    <n v="80"/>
    <x v="280"/>
    <x v="10"/>
    <x v="40"/>
    <s v="P17"/>
    <x v="14"/>
    <s v="Ambos"/>
    <s v="Esporte"/>
    <s v="NB"/>
    <s v="Academia"/>
    <n v="1"/>
    <s v="F8"/>
    <x v="7"/>
    <s v="Brasil Novo"/>
    <x v="3"/>
    <s v="C32"/>
    <x v="11"/>
    <s v="Matadouro"/>
    <s v="P. Prudente"/>
  </r>
  <r>
    <n v="79"/>
    <x v="281"/>
    <x v="10"/>
    <x v="45"/>
    <s v="P16"/>
    <x v="15"/>
    <s v="Masculino"/>
    <s v="Lazer e Casual"/>
    <s v="NB"/>
    <s v="-"/>
    <n v="3"/>
    <s v="F6"/>
    <x v="3"/>
    <s v="Vila Boa Vista"/>
    <x v="2"/>
    <s v="C27"/>
    <x v="12"/>
    <s v="Centro"/>
    <s v="Alv.Machado"/>
  </r>
  <r>
    <n v="78"/>
    <x v="282"/>
    <x v="10"/>
    <x v="46"/>
    <s v="P15"/>
    <x v="16"/>
    <s v="Ambos"/>
    <s v="Casual"/>
    <s v="Nike"/>
    <s v="-"/>
    <n v="2"/>
    <s v="F6"/>
    <x v="3"/>
    <s v="Vila Boa Vista"/>
    <x v="2"/>
    <s v="C23"/>
    <x v="17"/>
    <s v="Bela Vista"/>
    <s v="Alv.Machado"/>
  </r>
  <r>
    <n v="77"/>
    <x v="283"/>
    <x v="10"/>
    <x v="15"/>
    <s v="P14"/>
    <x v="17"/>
    <s v="Feminino"/>
    <s v="Casual"/>
    <s v="NB"/>
    <s v="-"/>
    <n v="3"/>
    <s v="F4"/>
    <x v="4"/>
    <s v="Jardim São Bento"/>
    <x v="0"/>
    <s v="C42"/>
    <x v="25"/>
    <s v="Jardim São Bento"/>
    <s v="P. Prudente"/>
  </r>
  <r>
    <n v="76"/>
    <x v="284"/>
    <x v="10"/>
    <x v="25"/>
    <s v="P13"/>
    <x v="18"/>
    <s v="Feminino"/>
    <s v="Corrida"/>
    <s v="NB"/>
    <s v="Corrida"/>
    <n v="3"/>
    <s v="F6"/>
    <x v="3"/>
    <s v="Vila Boa Vista"/>
    <x v="2"/>
    <s v="C33"/>
    <x v="36"/>
    <s v="Jardim Santa Clara"/>
    <s v="P. Prudente"/>
  </r>
  <r>
    <n v="75"/>
    <x v="285"/>
    <x v="10"/>
    <x v="10"/>
    <s v="P12"/>
    <x v="19"/>
    <s v="Ambos"/>
    <s v="Corrida e Lazer"/>
    <s v="Nike"/>
    <s v="Corrida"/>
    <n v="2"/>
    <s v="F3"/>
    <x v="2"/>
    <s v="Vila Aurélio"/>
    <x v="1"/>
    <s v="C22"/>
    <x v="13"/>
    <s v="Raio do Sol"/>
    <s v="P. Prudente"/>
  </r>
  <r>
    <n v="74"/>
    <x v="286"/>
    <x v="10"/>
    <x v="43"/>
    <s v="P11"/>
    <x v="20"/>
    <s v="Masculino"/>
    <s v="Esporte"/>
    <s v="Nike"/>
    <s v="Geral"/>
    <n v="3"/>
    <s v="F7"/>
    <x v="5"/>
    <s v="Cecap"/>
    <x v="0"/>
    <s v="C6"/>
    <x v="5"/>
    <s v="Vila Paulista"/>
    <s v="Alv.Machado"/>
  </r>
  <r>
    <n v="73"/>
    <x v="287"/>
    <x v="10"/>
    <x v="44"/>
    <s v="P10"/>
    <x v="21"/>
    <s v="Masculino"/>
    <s v="Esporte e Lazer"/>
    <s v="Nike"/>
    <s v="Geral"/>
    <n v="3"/>
    <s v="F2"/>
    <x v="6"/>
    <s v="Jardim paulista"/>
    <x v="0"/>
    <s v="C42"/>
    <x v="25"/>
    <s v="Jardim São Bento"/>
    <s v="P. Prudente"/>
  </r>
  <r>
    <n v="72"/>
    <x v="288"/>
    <x v="10"/>
    <x v="12"/>
    <s v="P9"/>
    <x v="0"/>
    <s v="Ambos"/>
    <s v="Lazer"/>
    <s v="Adidas"/>
    <s v="Geral"/>
    <n v="1"/>
    <s v="F3"/>
    <x v="2"/>
    <s v="Vila Aurélio"/>
    <x v="1"/>
    <s v="C11"/>
    <x v="16"/>
    <s v="Bela Vista"/>
    <s v="P. Prudente"/>
  </r>
  <r>
    <n v="71"/>
    <x v="289"/>
    <x v="10"/>
    <x v="1"/>
    <s v="P8"/>
    <x v="1"/>
    <s v="Feminino"/>
    <s v="Esporte"/>
    <s v="Adidas"/>
    <s v="Musculaçao"/>
    <n v="2"/>
    <s v="F1"/>
    <x v="0"/>
    <s v="Jardim São Bento"/>
    <x v="0"/>
    <s v="C47"/>
    <x v="10"/>
    <s v="Vila Boa Vista"/>
    <s v="P. Prudente"/>
  </r>
  <r>
    <n v="70"/>
    <x v="290"/>
    <x v="10"/>
    <x v="0"/>
    <s v="P7"/>
    <x v="2"/>
    <s v="Masculino"/>
    <s v="Esporte e Lazer"/>
    <s v="Adidas"/>
    <s v="Corrida"/>
    <n v="3"/>
    <s v="F1"/>
    <x v="0"/>
    <s v="Jardim São Bento"/>
    <x v="0"/>
    <s v="C45"/>
    <x v="26"/>
    <s v="Vila Aurélio"/>
    <s v="P. Prudente"/>
  </r>
  <r>
    <n v="69"/>
    <x v="291"/>
    <x v="10"/>
    <x v="8"/>
    <s v="P6"/>
    <x v="3"/>
    <s v="Masculino"/>
    <s v="Esporte e Lazer"/>
    <s v="Nike"/>
    <s v="Geral"/>
    <n v="2"/>
    <s v="F2"/>
    <x v="6"/>
    <s v="Jardim paulista"/>
    <x v="0"/>
    <s v="C1"/>
    <x v="43"/>
    <s v="Centro"/>
    <s v="Alv. Machado"/>
  </r>
  <r>
    <n v="68"/>
    <x v="292"/>
    <x v="10"/>
    <x v="2"/>
    <s v="P5"/>
    <x v="4"/>
    <s v="Ambos"/>
    <s v="Esporte e Lazer"/>
    <s v="Nike"/>
    <s v="Geral"/>
    <n v="1"/>
    <s v="F6"/>
    <x v="3"/>
    <s v="Vila Boa Vista"/>
    <x v="2"/>
    <s v="C14"/>
    <x v="28"/>
    <s v="São Lucas"/>
    <s v="P. Bernardes "/>
  </r>
  <r>
    <n v="67"/>
    <x v="293"/>
    <x v="10"/>
    <x v="4"/>
    <s v="P4"/>
    <x v="5"/>
    <s v="Ambos"/>
    <s v="Corrida e Lazer"/>
    <s v="Nike"/>
    <s v="Geral"/>
    <n v="2"/>
    <s v="F5"/>
    <x v="8"/>
    <s v="Ana jacinta"/>
    <x v="0"/>
    <s v="C2"/>
    <x v="45"/>
    <s v="São José"/>
    <s v="P. Prudente"/>
  </r>
  <r>
    <n v="66"/>
    <x v="294"/>
    <x v="10"/>
    <x v="10"/>
    <s v="P3"/>
    <x v="6"/>
    <s v="Ambos"/>
    <s v="Musculaçao"/>
    <s v="Strongbrand"/>
    <s v="Musculaçao"/>
    <n v="3"/>
    <s v="F7"/>
    <x v="5"/>
    <s v="Cecap"/>
    <x v="0"/>
    <s v="C35"/>
    <x v="34"/>
    <s v="Bosque Itaju"/>
    <s v="P. Prudente"/>
  </r>
  <r>
    <n v="65"/>
    <x v="295"/>
    <x v="10"/>
    <x v="30"/>
    <s v="P2"/>
    <x v="7"/>
    <s v="Ambos"/>
    <s v="Musculaçao"/>
    <s v="Strongbrand"/>
    <s v="Musculaçao"/>
    <n v="1"/>
    <s v="F8"/>
    <x v="7"/>
    <s v="Brasil Novo"/>
    <x v="3"/>
    <s v="C6"/>
    <x v="5"/>
    <s v="Vila Paulista"/>
    <s v="Alv.Machado"/>
  </r>
  <r>
    <n v="64"/>
    <x v="296"/>
    <x v="10"/>
    <x v="17"/>
    <s v="P1"/>
    <x v="8"/>
    <s v="Ambos"/>
    <s v="Musculaçao"/>
    <s v="Strongbrand"/>
    <s v="Musculaçao"/>
    <n v="2"/>
    <s v="F9"/>
    <x v="1"/>
    <s v="Centro"/>
    <x v="1"/>
    <s v="C21"/>
    <x v="7"/>
    <s v="Matadouro"/>
    <s v="P. Prudente"/>
  </r>
  <r>
    <n v="63"/>
    <x v="297"/>
    <x v="10"/>
    <x v="8"/>
    <s v="P22"/>
    <x v="9"/>
    <s v="Ambos"/>
    <s v="Bicicletas"/>
    <s v="Caloi"/>
    <s v="Geral"/>
    <n v="1"/>
    <s v="F2"/>
    <x v="6"/>
    <s v="Jardim paulista"/>
    <x v="0"/>
    <s v="C42"/>
    <x v="25"/>
    <s v="Jardim São Bento"/>
    <s v="P. Prudente"/>
  </r>
  <r>
    <n v="62"/>
    <x v="298"/>
    <x v="10"/>
    <x v="22"/>
    <s v="P21"/>
    <x v="10"/>
    <s v="Ambos"/>
    <s v="Bicicletas"/>
    <s v="Caloi"/>
    <s v="Geral"/>
    <n v="2"/>
    <s v="F8"/>
    <x v="7"/>
    <s v="Brasil Novo"/>
    <x v="3"/>
    <s v="C15"/>
    <x v="0"/>
    <s v="Vila Paulista"/>
    <s v="P. Prudente"/>
  </r>
  <r>
    <n v="61"/>
    <x v="299"/>
    <x v="10"/>
    <x v="39"/>
    <s v="P20"/>
    <x v="11"/>
    <s v="Ambos"/>
    <s v="Bermuda  "/>
    <s v="Puma"/>
    <s v="-"/>
    <n v="2"/>
    <s v="F1"/>
    <x v="0"/>
    <s v="Jardim São Bento"/>
    <x v="0"/>
    <s v="C15"/>
    <x v="0"/>
    <s v="Vila Paulista"/>
    <s v="P. Prudente"/>
  </r>
  <r>
    <n v="60"/>
    <x v="300"/>
    <x v="10"/>
    <x v="17"/>
    <s v="P19"/>
    <x v="12"/>
    <s v="Masculino"/>
    <s v="Camisas"/>
    <s v="Puma"/>
    <s v="Corrida e Lazer"/>
    <n v="1"/>
    <s v="F7"/>
    <x v="5"/>
    <s v="Cecap"/>
    <x v="0"/>
    <s v="C32"/>
    <x v="11"/>
    <s v="Matadouro"/>
    <s v="P. Prudente"/>
  </r>
  <r>
    <n v="59"/>
    <x v="273"/>
    <x v="10"/>
    <x v="40"/>
    <s v="P18"/>
    <x v="13"/>
    <s v="Ambos"/>
    <s v="Esporte e Lazer"/>
    <s v="Nike"/>
    <s v="Futebol"/>
    <n v="3"/>
    <s v="F5"/>
    <x v="8"/>
    <s v="Ana jacinta"/>
    <x v="0"/>
    <s v="C22"/>
    <x v="13"/>
    <s v="Raio do Sol"/>
    <s v="P. Prudente"/>
  </r>
  <r>
    <n v="58"/>
    <x v="274"/>
    <x v="10"/>
    <x v="12"/>
    <s v="P17"/>
    <x v="14"/>
    <s v="Ambos"/>
    <s v="Esporte"/>
    <s v="NB"/>
    <s v="Academia"/>
    <n v="2"/>
    <s v="F1"/>
    <x v="0"/>
    <s v="Jardim São Bento"/>
    <x v="0"/>
    <s v="C48"/>
    <x v="40"/>
    <s v="Vila Boa Vista"/>
    <s v="P. Prudente"/>
  </r>
  <r>
    <n v="57"/>
    <x v="275"/>
    <x v="10"/>
    <x v="45"/>
    <s v="P16"/>
    <x v="15"/>
    <s v="Masculino"/>
    <s v="Lazer e Casual"/>
    <s v="NB"/>
    <s v="-"/>
    <n v="3"/>
    <s v="F2"/>
    <x v="6"/>
    <s v="Jardim paulista"/>
    <x v="0"/>
    <s v="C44"/>
    <x v="30"/>
    <s v="Vila Áurea"/>
    <s v="P. Prudente"/>
  </r>
  <r>
    <n v="56"/>
    <x v="276"/>
    <x v="10"/>
    <x v="34"/>
    <s v="P15"/>
    <x v="16"/>
    <s v="Ambos"/>
    <s v="Casual"/>
    <s v="Nike"/>
    <s v="-"/>
    <n v="3"/>
    <s v="F8"/>
    <x v="7"/>
    <s v="Brasil Novo"/>
    <x v="3"/>
    <s v="C50"/>
    <x v="2"/>
    <s v="Matadouro"/>
    <s v="Alv.Machado"/>
  </r>
  <r>
    <n v="55"/>
    <x v="277"/>
    <x v="10"/>
    <x v="15"/>
    <s v="P14"/>
    <x v="17"/>
    <s v="Feminino"/>
    <s v="Casual"/>
    <s v="NB"/>
    <s v="-"/>
    <n v="3"/>
    <s v="F7"/>
    <x v="5"/>
    <s v="Cecap"/>
    <x v="0"/>
    <s v="C40"/>
    <x v="37"/>
    <s v="Jardim Santa Paula"/>
    <s v="P. Prudente"/>
  </r>
  <r>
    <n v="54"/>
    <x v="278"/>
    <x v="10"/>
    <x v="16"/>
    <s v="P13"/>
    <x v="18"/>
    <s v="Feminino"/>
    <s v="Corrida"/>
    <s v="NB"/>
    <s v="Corrida"/>
    <n v="2"/>
    <s v="F6"/>
    <x v="3"/>
    <s v="Vila Boa Vista"/>
    <x v="2"/>
    <s v="C45"/>
    <x v="26"/>
    <s v="Vila Aurélio"/>
    <s v="P. Prudente"/>
  </r>
  <r>
    <n v="53"/>
    <x v="279"/>
    <x v="10"/>
    <x v="17"/>
    <s v="P12"/>
    <x v="19"/>
    <s v="Ambos"/>
    <s v="Corrida e Lazer"/>
    <s v="Nike"/>
    <s v="Corrida"/>
    <n v="1"/>
    <s v="F8"/>
    <x v="7"/>
    <s v="Brasil Novo"/>
    <x v="3"/>
    <s v="C29"/>
    <x v="1"/>
    <s v="Centro"/>
    <s v="Alv.Machado"/>
  </r>
  <r>
    <n v="52"/>
    <x v="280"/>
    <x v="10"/>
    <x v="6"/>
    <s v="P11"/>
    <x v="20"/>
    <s v="Masculino"/>
    <s v="Esporte"/>
    <s v="Nike"/>
    <s v="Geral"/>
    <n v="1"/>
    <s v="F5"/>
    <x v="8"/>
    <s v="Ana jacinta"/>
    <x v="0"/>
    <s v="C36"/>
    <x v="38"/>
    <s v="Brasil Novo"/>
    <s v="P. Bernades"/>
  </r>
  <r>
    <n v="51"/>
    <x v="281"/>
    <x v="10"/>
    <x v="44"/>
    <s v="P10"/>
    <x v="21"/>
    <s v="Masculino"/>
    <s v="Esporte e Lazer"/>
    <s v="Nike"/>
    <s v="Geral"/>
    <n v="3"/>
    <s v="F1"/>
    <x v="0"/>
    <s v="Jardim São Bento"/>
    <x v="0"/>
    <s v="C1"/>
    <x v="43"/>
    <s v="Centro"/>
    <s v="Alv. Machado"/>
  </r>
  <r>
    <n v="50"/>
    <x v="282"/>
    <x v="10"/>
    <x v="0"/>
    <s v="P9"/>
    <x v="0"/>
    <s v="Ambos"/>
    <s v="Lazer"/>
    <s v="Adidas"/>
    <s v="Geral"/>
    <n v="2"/>
    <s v="F6"/>
    <x v="3"/>
    <s v="Vila Boa Vista"/>
    <x v="2"/>
    <s v="C7"/>
    <x v="23"/>
    <s v="Matadouro"/>
    <s v="P. Prudente"/>
  </r>
  <r>
    <n v="49"/>
    <x v="283"/>
    <x v="10"/>
    <x v="28"/>
    <s v="P8"/>
    <x v="1"/>
    <s v="Feminino"/>
    <s v="Esporte"/>
    <s v="Adidas"/>
    <s v="Musculaçao"/>
    <n v="1"/>
    <s v="F5"/>
    <x v="8"/>
    <s v="Ana jacinta"/>
    <x v="0"/>
    <s v="C21"/>
    <x v="7"/>
    <s v="Matadouro"/>
    <s v="P. Prudente"/>
  </r>
  <r>
    <n v="48"/>
    <x v="284"/>
    <x v="10"/>
    <x v="20"/>
    <s v="P7"/>
    <x v="2"/>
    <s v="Masculino"/>
    <s v="Esporte e Lazer"/>
    <s v="Adidas"/>
    <s v="Corrida"/>
    <n v="2"/>
    <s v="F6"/>
    <x v="3"/>
    <s v="Vila Boa Vista"/>
    <x v="2"/>
    <s v="C28"/>
    <x v="29"/>
    <s v="Raio do Sol"/>
    <s v="Martinopolis"/>
  </r>
  <r>
    <n v="47"/>
    <x v="285"/>
    <x v="10"/>
    <x v="3"/>
    <s v="P6"/>
    <x v="3"/>
    <s v="Masculino"/>
    <s v="Esporte e Lazer"/>
    <s v="Nike"/>
    <s v="Geral"/>
    <n v="3"/>
    <s v="F5"/>
    <x v="8"/>
    <s v="Ana jacinta"/>
    <x v="0"/>
    <s v="C31"/>
    <x v="18"/>
    <s v="Bela Vista"/>
    <s v="P. Bernardes "/>
  </r>
  <r>
    <n v="46"/>
    <x v="286"/>
    <x v="10"/>
    <x v="20"/>
    <s v="P5"/>
    <x v="4"/>
    <s v="Ambos"/>
    <s v="Esporte e Lazer"/>
    <s v="Nike"/>
    <s v="Geral"/>
    <n v="2"/>
    <s v="F4"/>
    <x v="4"/>
    <s v="Jardim São Bento"/>
    <x v="0"/>
    <s v="C24"/>
    <x v="8"/>
    <s v="São José"/>
    <s v="P. Prudente"/>
  </r>
  <r>
    <n v="45"/>
    <x v="287"/>
    <x v="10"/>
    <x v="36"/>
    <s v="P4"/>
    <x v="5"/>
    <s v="Ambos"/>
    <s v="Corrida e Lazer"/>
    <s v="Nike"/>
    <s v="Geral"/>
    <n v="1"/>
    <s v="F3"/>
    <x v="2"/>
    <s v="Vila Aurélio"/>
    <x v="1"/>
    <s v="C30"/>
    <x v="35"/>
    <s v="São José"/>
    <s v="P. Prudente"/>
  </r>
  <r>
    <n v="44"/>
    <x v="288"/>
    <x v="10"/>
    <x v="10"/>
    <s v="P3"/>
    <x v="6"/>
    <s v="Ambos"/>
    <s v="Musculaçao"/>
    <s v="Strongbrand"/>
    <s v="Musculaçao"/>
    <n v="3"/>
    <s v="F1"/>
    <x v="0"/>
    <s v="Jardim São Bento"/>
    <x v="0"/>
    <s v="C38"/>
    <x v="4"/>
    <s v="Centro"/>
    <s v="P. Prudente"/>
  </r>
  <r>
    <n v="43"/>
    <x v="289"/>
    <x v="10"/>
    <x v="30"/>
    <s v="P2"/>
    <x v="7"/>
    <s v="Ambos"/>
    <s v="Musculaçao"/>
    <s v="Strongbrand"/>
    <s v="Musculaçao"/>
    <n v="1"/>
    <s v="F5"/>
    <x v="8"/>
    <s v="Ana jacinta"/>
    <x v="0"/>
    <s v="C18"/>
    <x v="41"/>
    <s v="Centro"/>
    <s v="Alv.Machado"/>
  </r>
  <r>
    <n v="42"/>
    <x v="301"/>
    <x v="11"/>
    <x v="5"/>
    <s v="P20"/>
    <x v="11"/>
    <s v="Ambos"/>
    <s v="Bermuda  "/>
    <s v="Puma"/>
    <s v="-"/>
    <n v="1"/>
    <s v="F7"/>
    <x v="5"/>
    <s v="Cecap"/>
    <x v="0"/>
    <s v="C42"/>
    <x v="25"/>
    <s v="Jardim São Bento"/>
    <s v="P. Prudente"/>
  </r>
  <r>
    <n v="41"/>
    <x v="302"/>
    <x v="11"/>
    <x v="10"/>
    <s v="P19"/>
    <x v="12"/>
    <s v="Masculino"/>
    <s v="Camisas"/>
    <s v="Puma"/>
    <s v="Corrida e Lazer"/>
    <n v="2"/>
    <s v="F3"/>
    <x v="2"/>
    <s v="Vila Aurélio"/>
    <x v="1"/>
    <s v="C12"/>
    <x v="19"/>
    <s v="Bela Vista"/>
    <s v="Alv.Machado"/>
  </r>
  <r>
    <n v="40"/>
    <x v="303"/>
    <x v="11"/>
    <x v="40"/>
    <s v="P18"/>
    <x v="13"/>
    <s v="Ambos"/>
    <s v="Esporte e Lazer"/>
    <s v="Nike"/>
    <s v="Futebol"/>
    <n v="3"/>
    <s v="F9"/>
    <x v="1"/>
    <s v="Centro"/>
    <x v="1"/>
    <s v="C11"/>
    <x v="16"/>
    <s v="Bela Vista"/>
    <s v="P. Prudente"/>
  </r>
  <r>
    <n v="39"/>
    <x v="304"/>
    <x v="11"/>
    <x v="12"/>
    <s v="P17"/>
    <x v="14"/>
    <s v="Ambos"/>
    <s v="Esporte"/>
    <s v="NB"/>
    <s v="Academia"/>
    <n v="2"/>
    <s v="F1"/>
    <x v="0"/>
    <s v="Jardim São Bento"/>
    <x v="0"/>
    <s v="C2"/>
    <x v="45"/>
    <s v="São José"/>
    <s v="P. Prudente"/>
  </r>
  <r>
    <n v="38"/>
    <x v="305"/>
    <x v="11"/>
    <x v="13"/>
    <s v="P16"/>
    <x v="15"/>
    <s v="Masculino"/>
    <s v="Lazer e Casual"/>
    <s v="NB"/>
    <s v="-"/>
    <n v="1"/>
    <s v="F5"/>
    <x v="8"/>
    <s v="Ana jacinta"/>
    <x v="0"/>
    <s v="C26"/>
    <x v="42"/>
    <s v="Matadouro"/>
    <s v="P. Prudente"/>
  </r>
  <r>
    <n v="37"/>
    <x v="306"/>
    <x v="11"/>
    <x v="14"/>
    <s v="P15"/>
    <x v="16"/>
    <s v="Ambos"/>
    <s v="Casual"/>
    <s v="Nike"/>
    <s v="-"/>
    <n v="1"/>
    <s v="F4"/>
    <x v="4"/>
    <s v="Jardim São Bento"/>
    <x v="0"/>
    <s v="C8"/>
    <x v="39"/>
    <s v="Centro"/>
    <s v="Martinopolis"/>
  </r>
  <r>
    <n v="36"/>
    <x v="307"/>
    <x v="11"/>
    <x v="35"/>
    <s v="P14"/>
    <x v="17"/>
    <s v="Feminino"/>
    <s v="Casual"/>
    <s v="NB"/>
    <s v="-"/>
    <n v="2"/>
    <s v="F2"/>
    <x v="6"/>
    <s v="Jardim paulista"/>
    <x v="0"/>
    <s v="C4"/>
    <x v="46"/>
    <s v="Centro"/>
    <s v="P. Bernardes "/>
  </r>
  <r>
    <n v="35"/>
    <x v="308"/>
    <x v="11"/>
    <x v="16"/>
    <s v="P13"/>
    <x v="18"/>
    <s v="Feminino"/>
    <s v="Corrida"/>
    <s v="NB"/>
    <s v="Corrida"/>
    <n v="2"/>
    <s v="F1"/>
    <x v="0"/>
    <s v="Jardim São Bento"/>
    <x v="0"/>
    <s v="C20"/>
    <x v="9"/>
    <s v="Bela Vista"/>
    <s v="P. Bernardes "/>
  </r>
  <r>
    <n v="34"/>
    <x v="309"/>
    <x v="11"/>
    <x v="24"/>
    <s v="P12"/>
    <x v="19"/>
    <s v="Ambos"/>
    <s v="Corrida e Lazer"/>
    <s v="Nike"/>
    <s v="Corrida"/>
    <n v="3"/>
    <s v="F2"/>
    <x v="6"/>
    <s v="Jardim paulista"/>
    <x v="0"/>
    <s v="C11"/>
    <x v="16"/>
    <s v="Bela Vista"/>
    <s v="P. Prudente"/>
  </r>
  <r>
    <n v="33"/>
    <x v="310"/>
    <x v="11"/>
    <x v="6"/>
    <s v="P11"/>
    <x v="20"/>
    <s v="Masculino"/>
    <s v="Esporte"/>
    <s v="Nike"/>
    <s v="Geral"/>
    <n v="1"/>
    <s v="F1"/>
    <x v="0"/>
    <s v="Jardim São Bento"/>
    <x v="0"/>
    <s v="C31"/>
    <x v="18"/>
    <s v="Bela Vista"/>
    <s v="P. Bernardes "/>
  </r>
  <r>
    <n v="32"/>
    <x v="311"/>
    <x v="11"/>
    <x v="44"/>
    <s v="P10"/>
    <x v="21"/>
    <s v="Masculino"/>
    <s v="Esporte e Lazer"/>
    <s v="Nike"/>
    <s v="Geral"/>
    <n v="3"/>
    <s v="F2"/>
    <x v="6"/>
    <s v="Jardim paulista"/>
    <x v="0"/>
    <s v="C20"/>
    <x v="9"/>
    <s v="Bela Vista"/>
    <s v="P. Bernardes "/>
  </r>
  <r>
    <n v="31"/>
    <x v="312"/>
    <x v="11"/>
    <x v="0"/>
    <s v="P9"/>
    <x v="0"/>
    <s v="Ambos"/>
    <s v="Lazer"/>
    <s v="Adidas"/>
    <s v="Geral"/>
    <n v="2"/>
    <s v="F5"/>
    <x v="8"/>
    <s v="Ana jacinta"/>
    <x v="0"/>
    <s v="C42"/>
    <x v="25"/>
    <s v="Jardim São Bento"/>
    <s v="P. Prudente"/>
  </r>
  <r>
    <n v="30"/>
    <x v="313"/>
    <x v="11"/>
    <x v="19"/>
    <s v="P8"/>
    <x v="1"/>
    <s v="Feminino"/>
    <s v="Esporte"/>
    <s v="Adidas"/>
    <s v="Musculaçao"/>
    <n v="3"/>
    <s v="F9"/>
    <x v="1"/>
    <s v="Centro"/>
    <x v="1"/>
    <s v="C45"/>
    <x v="26"/>
    <s v="Vila Aurélio"/>
    <s v="P. Prudente"/>
  </r>
  <r>
    <n v="29"/>
    <x v="314"/>
    <x v="11"/>
    <x v="20"/>
    <s v="P7"/>
    <x v="2"/>
    <s v="Masculino"/>
    <s v="Esporte e Lazer"/>
    <s v="Adidas"/>
    <s v="Corrida"/>
    <n v="2"/>
    <s v="F6"/>
    <x v="3"/>
    <s v="Vila Boa Vista"/>
    <x v="2"/>
    <s v="C17"/>
    <x v="47"/>
    <s v="Raio do Sol"/>
    <s v="Martinopolis"/>
  </r>
  <r>
    <n v="28"/>
    <x v="315"/>
    <x v="11"/>
    <x v="3"/>
    <s v="P6"/>
    <x v="3"/>
    <s v="Masculino"/>
    <s v="Esporte e Lazer"/>
    <s v="Nike"/>
    <s v="Geral"/>
    <n v="3"/>
    <s v="F6"/>
    <x v="3"/>
    <s v="Vila Boa Vista"/>
    <x v="2"/>
    <s v="C7"/>
    <x v="23"/>
    <s v="Matadouro"/>
    <s v="P. Prudente"/>
  </r>
  <r>
    <n v="27"/>
    <x v="316"/>
    <x v="11"/>
    <x v="0"/>
    <s v="P5"/>
    <x v="4"/>
    <s v="Ambos"/>
    <s v="Esporte e Lazer"/>
    <s v="Nike"/>
    <s v="Geral"/>
    <n v="3"/>
    <s v="F8"/>
    <x v="7"/>
    <s v="Brasil Novo"/>
    <x v="3"/>
    <s v="C4"/>
    <x v="46"/>
    <s v="Centro"/>
    <s v="P. Bernardes "/>
  </r>
  <r>
    <n v="26"/>
    <x v="317"/>
    <x v="11"/>
    <x v="36"/>
    <s v="P4"/>
    <x v="5"/>
    <s v="Ambos"/>
    <s v="Corrida e Lazer"/>
    <s v="Nike"/>
    <s v="Geral"/>
    <n v="1"/>
    <s v="F4"/>
    <x v="4"/>
    <s v="Jardim São Bento"/>
    <x v="0"/>
    <s v="C8"/>
    <x v="39"/>
    <s v="Centro"/>
    <s v="Martinopolis"/>
  </r>
  <r>
    <n v="25"/>
    <x v="318"/>
    <x v="11"/>
    <x v="10"/>
    <s v="P3"/>
    <x v="6"/>
    <s v="Ambos"/>
    <s v="Musculaçao"/>
    <s v="Strongbrand"/>
    <s v="Musculaçao"/>
    <n v="3"/>
    <s v="F2"/>
    <x v="6"/>
    <s v="Jardim paulista"/>
    <x v="0"/>
    <s v="C13"/>
    <x v="21"/>
    <s v="Raio do Sol"/>
    <s v="P. Prudente"/>
  </r>
  <r>
    <n v="24"/>
    <x v="319"/>
    <x v="11"/>
    <x v="30"/>
    <s v="P2"/>
    <x v="7"/>
    <s v="Ambos"/>
    <s v="Musculaçao"/>
    <s v="Strongbrand"/>
    <s v="Musculaçao"/>
    <n v="1"/>
    <s v="F2"/>
    <x v="6"/>
    <s v="Jardim paulista"/>
    <x v="0"/>
    <s v="C1"/>
    <x v="43"/>
    <s v="Centro"/>
    <s v="Alv. Machado"/>
  </r>
  <r>
    <n v="23"/>
    <x v="320"/>
    <x v="11"/>
    <x v="7"/>
    <s v="P1"/>
    <x v="8"/>
    <s v="Ambos"/>
    <s v="Musculaçao"/>
    <s v="Strongbrand"/>
    <s v="Musculaçao"/>
    <n v="1"/>
    <s v="F8"/>
    <x v="7"/>
    <s v="Brasil Novo"/>
    <x v="3"/>
    <s v="C12"/>
    <x v="19"/>
    <s v="Bela Vista"/>
    <s v="Alv.Machado"/>
  </r>
  <r>
    <n v="22"/>
    <x v="321"/>
    <x v="11"/>
    <x v="38"/>
    <s v="P22"/>
    <x v="9"/>
    <s v="Ambos"/>
    <s v="Bicicletas"/>
    <s v="Caloi"/>
    <s v="Geral"/>
    <n v="2"/>
    <s v="F3"/>
    <x v="2"/>
    <s v="Vila Aurélio"/>
    <x v="1"/>
    <s v="C49"/>
    <x v="24"/>
    <s v="Vila Aurélio"/>
    <s v="P. Prudente"/>
  </r>
  <r>
    <n v="21"/>
    <x v="322"/>
    <x v="11"/>
    <x v="22"/>
    <s v="P21"/>
    <x v="10"/>
    <s v="Ambos"/>
    <s v="Bicicletas"/>
    <s v="Caloi"/>
    <s v="Geral"/>
    <n v="2"/>
    <s v="F9"/>
    <x v="1"/>
    <s v="Centro"/>
    <x v="1"/>
    <s v="C18"/>
    <x v="41"/>
    <s v="Centro"/>
    <s v="Alv.Machado"/>
  </r>
  <r>
    <n v="20"/>
    <x v="323"/>
    <x v="11"/>
    <x v="23"/>
    <s v="P20"/>
    <x v="11"/>
    <s v="Ambos"/>
    <s v="Bermuda  "/>
    <s v="Puma"/>
    <s v="-"/>
    <n v="3"/>
    <s v="F5"/>
    <x v="8"/>
    <s v="Ana jacinta"/>
    <x v="0"/>
    <s v="C47"/>
    <x v="10"/>
    <s v="Vila Boa Vista"/>
    <s v="P. Prudente"/>
  </r>
  <r>
    <n v="19"/>
    <x v="324"/>
    <x v="11"/>
    <x v="24"/>
    <s v="P19"/>
    <x v="12"/>
    <s v="Masculino"/>
    <s v="Camisas"/>
    <s v="Puma"/>
    <s v="Corrida e Lazer"/>
    <n v="3"/>
    <s v="F5"/>
    <x v="8"/>
    <s v="Ana jacinta"/>
    <x v="0"/>
    <s v="C17"/>
    <x v="47"/>
    <s v="Raio do Sol"/>
    <s v="Martinopolis"/>
  </r>
  <r>
    <n v="18"/>
    <x v="325"/>
    <x v="11"/>
    <x v="11"/>
    <s v="P18"/>
    <x v="13"/>
    <s v="Ambos"/>
    <s v="Esporte e Lazer"/>
    <s v="Nike"/>
    <s v="Futebol"/>
    <n v="1"/>
    <s v="F2"/>
    <x v="6"/>
    <s v="Jardim paulista"/>
    <x v="0"/>
    <s v="C15"/>
    <x v="0"/>
    <s v="Vila Paulista"/>
    <s v="P. Prudente"/>
  </r>
  <r>
    <n v="17"/>
    <x v="326"/>
    <x v="11"/>
    <x v="12"/>
    <s v="P17"/>
    <x v="14"/>
    <s v="Ambos"/>
    <s v="Esporte"/>
    <s v="NB"/>
    <s v="Academia"/>
    <n v="2"/>
    <s v="F1"/>
    <x v="0"/>
    <s v="Jardim São Bento"/>
    <x v="0"/>
    <s v="C27"/>
    <x v="12"/>
    <s v="Centro"/>
    <s v="Alv.Machado"/>
  </r>
  <r>
    <n v="16"/>
    <x v="327"/>
    <x v="11"/>
    <x v="13"/>
    <s v="P16"/>
    <x v="15"/>
    <s v="Masculino"/>
    <s v="Lazer e Casual"/>
    <s v="NB"/>
    <s v="-"/>
    <n v="1"/>
    <s v="F7"/>
    <x v="5"/>
    <s v="Cecap"/>
    <x v="0"/>
    <s v="C37"/>
    <x v="27"/>
    <s v="Cecap"/>
    <s v="P. Prudente"/>
  </r>
  <r>
    <n v="15"/>
    <x v="328"/>
    <x v="11"/>
    <x v="14"/>
    <s v="P15"/>
    <x v="16"/>
    <s v="Ambos"/>
    <s v="Casual"/>
    <s v="Nike"/>
    <s v="-"/>
    <n v="1"/>
    <s v="F6"/>
    <x v="3"/>
    <s v="Vila Boa Vista"/>
    <x v="2"/>
    <s v="C12"/>
    <x v="19"/>
    <s v="Bela Vista"/>
    <s v="Alv.Machado"/>
  </r>
  <r>
    <n v="14"/>
    <x v="329"/>
    <x v="11"/>
    <x v="15"/>
    <s v="P14"/>
    <x v="17"/>
    <s v="Feminino"/>
    <s v="Casual"/>
    <s v="NB"/>
    <s v="-"/>
    <n v="3"/>
    <s v="F5"/>
    <x v="8"/>
    <s v="Ana jacinta"/>
    <x v="0"/>
    <s v="C5"/>
    <x v="6"/>
    <s v="Bela Vista"/>
    <s v="P. Prudente"/>
  </r>
  <r>
    <n v="13"/>
    <x v="330"/>
    <x v="11"/>
    <x v="16"/>
    <s v="P13"/>
    <x v="18"/>
    <s v="Feminino"/>
    <s v="Corrida"/>
    <s v="NB"/>
    <s v="Corrida"/>
    <n v="2"/>
    <s v="F2"/>
    <x v="6"/>
    <s v="Jardim paulista"/>
    <x v="0"/>
    <s v="C11"/>
    <x v="16"/>
    <s v="Bela Vista"/>
    <s v="P. Prudente"/>
  </r>
  <r>
    <n v="12"/>
    <x v="301"/>
    <x v="11"/>
    <x v="10"/>
    <s v="P12"/>
    <x v="19"/>
    <s v="Ambos"/>
    <s v="Corrida e Lazer"/>
    <s v="Nike"/>
    <s v="Corrida"/>
    <n v="2"/>
    <s v="F1"/>
    <x v="0"/>
    <s v="Jardim São Bento"/>
    <x v="0"/>
    <s v="C12"/>
    <x v="19"/>
    <s v="Bela Vista"/>
    <s v="Alv.Machado"/>
  </r>
  <r>
    <n v="11"/>
    <x v="302"/>
    <x v="11"/>
    <x v="6"/>
    <s v="P11"/>
    <x v="20"/>
    <s v="Masculino"/>
    <s v="Esporte"/>
    <s v="Nike"/>
    <s v="Geral"/>
    <n v="1"/>
    <s v="F7"/>
    <x v="5"/>
    <s v="Cecap"/>
    <x v="0"/>
    <s v="C27"/>
    <x v="12"/>
    <s v="Centro"/>
    <s v="Alv.Machado"/>
  </r>
  <r>
    <n v="10"/>
    <x v="303"/>
    <x v="11"/>
    <x v="18"/>
    <s v="P10"/>
    <x v="21"/>
    <s v="Masculino"/>
    <s v="Esporte e Lazer"/>
    <s v="Nike"/>
    <s v="Geral"/>
    <n v="1"/>
    <s v="F4"/>
    <x v="4"/>
    <s v="Jardim São Bento"/>
    <x v="0"/>
    <s v="C41"/>
    <x v="15"/>
    <s v="Jardim Santana"/>
    <s v="P. Prudente"/>
  </r>
  <r>
    <n v="9"/>
    <x v="304"/>
    <x v="11"/>
    <x v="16"/>
    <s v="P9"/>
    <x v="0"/>
    <s v="Ambos"/>
    <s v="Lazer"/>
    <s v="Adidas"/>
    <s v="Geral"/>
    <n v="3"/>
    <s v="F3"/>
    <x v="2"/>
    <s v="Vila Aurélio"/>
    <x v="1"/>
    <s v="C30"/>
    <x v="35"/>
    <s v="São José"/>
    <s v="P. Prudente"/>
  </r>
  <r>
    <n v="8"/>
    <x v="305"/>
    <x v="11"/>
    <x v="1"/>
    <s v="P8"/>
    <x v="1"/>
    <s v="Feminino"/>
    <s v="Esporte"/>
    <s v="Adidas"/>
    <s v="Musculaçao"/>
    <n v="2"/>
    <s v="F2"/>
    <x v="6"/>
    <s v="Jardim paulista"/>
    <x v="0"/>
    <s v="C8"/>
    <x v="39"/>
    <s v="Centro"/>
    <s v="Martinopolis"/>
  </r>
  <r>
    <n v="7"/>
    <x v="306"/>
    <x v="11"/>
    <x v="0"/>
    <s v="P7"/>
    <x v="2"/>
    <s v="Masculino"/>
    <s v="Esporte e Lazer"/>
    <s v="Adidas"/>
    <s v="Corrida"/>
    <n v="3"/>
    <s v="F9"/>
    <x v="1"/>
    <s v="Centro"/>
    <x v="1"/>
    <s v="C3"/>
    <x v="22"/>
    <s v="Raio do Sol"/>
    <s v="P. Prudente"/>
  </r>
  <r>
    <n v="6"/>
    <x v="307"/>
    <x v="11"/>
    <x v="20"/>
    <s v="P6"/>
    <x v="3"/>
    <s v="Masculino"/>
    <s v="Esporte e Lazer"/>
    <s v="Nike"/>
    <s v="Geral"/>
    <n v="1"/>
    <s v="F8"/>
    <x v="7"/>
    <s v="Brasil Novo"/>
    <x v="3"/>
    <s v="C7"/>
    <x v="23"/>
    <s v="Matadouro"/>
    <s v="P. Prudente"/>
  </r>
  <r>
    <n v="5"/>
    <x v="308"/>
    <x v="11"/>
    <x v="20"/>
    <s v="P5"/>
    <x v="4"/>
    <s v="Ambos"/>
    <s v="Esporte e Lazer"/>
    <s v="Nike"/>
    <s v="Geral"/>
    <n v="2"/>
    <s v="F5"/>
    <x v="8"/>
    <s v="Ana jacinta"/>
    <x v="0"/>
    <s v="C48"/>
    <x v="40"/>
    <s v="Vila Boa Vista"/>
    <s v="P. Prudente"/>
  </r>
  <r>
    <n v="4"/>
    <x v="309"/>
    <x v="11"/>
    <x v="21"/>
    <s v="P4"/>
    <x v="5"/>
    <s v="Ambos"/>
    <s v="Corrida e Lazer"/>
    <s v="Nike"/>
    <s v="Geral"/>
    <n v="3"/>
    <s v="F8"/>
    <x v="7"/>
    <s v="Brasil Novo"/>
    <x v="3"/>
    <s v="C37"/>
    <x v="27"/>
    <s v="Cecap"/>
    <s v="P. Prudente"/>
  </r>
  <r>
    <n v="3"/>
    <x v="310"/>
    <x v="11"/>
    <x v="5"/>
    <s v="P3"/>
    <x v="6"/>
    <s v="Ambos"/>
    <s v="Musculaçao"/>
    <s v="Strongbrand"/>
    <s v="Musculaçao"/>
    <n v="2"/>
    <s v="F6"/>
    <x v="3"/>
    <s v="Vila Boa Vista"/>
    <x v="2"/>
    <s v="C34"/>
    <x v="44"/>
    <s v="Jardim Santa Elisa"/>
    <s v="P. Prudente"/>
  </r>
  <r>
    <n v="2"/>
    <x v="311"/>
    <x v="11"/>
    <x v="30"/>
    <s v="P2"/>
    <x v="7"/>
    <s v="Ambos"/>
    <s v="Musculaçao"/>
    <s v="Strongbrand"/>
    <s v="Musculaçao"/>
    <n v="1"/>
    <s v="F7"/>
    <x v="5"/>
    <s v="Cecap"/>
    <x v="0"/>
    <s v="C33"/>
    <x v="36"/>
    <s v="Jardim Santa Clara"/>
    <s v="P. Prudente"/>
  </r>
  <r>
    <n v="1"/>
    <x v="312"/>
    <x v="11"/>
    <x v="31"/>
    <s v="P1"/>
    <x v="8"/>
    <s v="Ambos"/>
    <s v="Musculaçao"/>
    <s v="Strongbrand"/>
    <s v="Musculaçao"/>
    <n v="3"/>
    <s v="F7"/>
    <x v="5"/>
    <s v="Cecap"/>
    <x v="0"/>
    <s v="C36"/>
    <x v="38"/>
    <s v="Brasil Novo"/>
    <s v="P. Bernad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5:B15" firstHeaderRow="1" firstDataRow="1" firstDataCol="1"/>
  <pivotFields count="22">
    <pivotField showAll="0"/>
    <pivotField axis="axisRow" showAll="0">
      <items count="23">
        <item x="20"/>
        <item x="19"/>
        <item x="21"/>
        <item x="10"/>
        <item x="12"/>
        <item x="2"/>
        <item x="4"/>
        <item x="11"/>
        <item x="3"/>
        <item x="1"/>
        <item x="0"/>
        <item x="14"/>
        <item x="13"/>
        <item x="15"/>
        <item x="5"/>
        <item x="6"/>
        <item x="8"/>
        <item x="9"/>
        <item x="18"/>
        <item x="7"/>
        <item x="16"/>
        <item x="17"/>
        <item t="default"/>
      </items>
    </pivotField>
    <pivotField showAll="0"/>
    <pivotField showAll="0"/>
    <pivotField showAll="0"/>
    <pivotField axis="axisRow" showAll="0">
      <items count="8">
        <item h="1" x="1"/>
        <item h="1" x="4"/>
        <item h="1" x="5"/>
        <item h="1" x="2"/>
        <item h="1" x="3"/>
        <item x="0"/>
        <item h="1" x="6"/>
        <item t="default"/>
      </items>
    </pivotField>
    <pivotField numFmtId="44" showAll="0"/>
    <pivotField numFmtId="44" showAll="0"/>
    <pivotField dataField="1" numFmtId="2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</pivotFields>
  <rowFields count="2">
    <field x="5"/>
    <field x="1"/>
  </rowFields>
  <rowItems count="10">
    <i>
      <x v="5"/>
    </i>
    <i r="1">
      <x v="4"/>
    </i>
    <i r="1">
      <x v="7"/>
    </i>
    <i r="1">
      <x v="9"/>
    </i>
    <i r="1">
      <x v="10"/>
    </i>
    <i r="1">
      <x v="12"/>
    </i>
    <i r="1">
      <x v="18"/>
    </i>
    <i r="1">
      <x v="20"/>
    </i>
    <i r="1">
      <x v="21"/>
    </i>
    <i t="grand">
      <x/>
    </i>
  </rowItems>
  <colItems count="1">
    <i/>
  </colItems>
  <dataFields count="1">
    <dataField name="Soma de Qtd. Vendas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5:B60" firstHeaderRow="1" firstDataRow="1" firstDataCol="1"/>
  <pivotFields count="22">
    <pivotField showAll="0"/>
    <pivotField axis="axisRow" showAll="0">
      <items count="51">
        <item x="32"/>
        <item x="13"/>
        <item x="24"/>
        <item x="17"/>
        <item x="28"/>
        <item x="47"/>
        <item x="42"/>
        <item x="43"/>
        <item x="5"/>
        <item x="44"/>
        <item x="6"/>
        <item x="45"/>
        <item x="3"/>
        <item x="20"/>
        <item x="46"/>
        <item x="14"/>
        <item x="23"/>
        <item x="34"/>
        <item x="21"/>
        <item x="7"/>
        <item x="10"/>
        <item x="35"/>
        <item x="18"/>
        <item x="48"/>
        <item x="15"/>
        <item x="11"/>
        <item x="26"/>
        <item x="37"/>
        <item x="27"/>
        <item x="31"/>
        <item x="36"/>
        <item x="12"/>
        <item x="8"/>
        <item x="39"/>
        <item x="25"/>
        <item x="49"/>
        <item x="22"/>
        <item x="41"/>
        <item x="33"/>
        <item x="0"/>
        <item x="38"/>
        <item x="2"/>
        <item x="19"/>
        <item x="30"/>
        <item x="1"/>
        <item x="9"/>
        <item x="4"/>
        <item x="16"/>
        <item x="40"/>
        <item x="29"/>
        <item t="default"/>
      </items>
    </pivotField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dataField="1"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</pivotFields>
  <rowFields count="2">
    <field x="5"/>
    <field x="1"/>
  </rowFields>
  <rowItems count="55">
    <i>
      <x/>
    </i>
    <i r="1">
      <x v="3"/>
    </i>
    <i r="1">
      <x v="4"/>
    </i>
    <i r="1">
      <x v="8"/>
    </i>
    <i r="1">
      <x v="24"/>
    </i>
    <i r="1">
      <x v="25"/>
    </i>
    <i r="1">
      <x v="26"/>
    </i>
    <i r="1">
      <x v="35"/>
    </i>
    <i r="1">
      <x v="36"/>
    </i>
    <i r="1">
      <x v="39"/>
    </i>
    <i>
      <x v="1"/>
    </i>
    <i r="1">
      <x v="19"/>
    </i>
    <i r="1">
      <x v="28"/>
    </i>
    <i r="1">
      <x v="47"/>
    </i>
    <i>
      <x v="2"/>
    </i>
    <i r="1">
      <x v="1"/>
    </i>
    <i r="1">
      <x v="2"/>
    </i>
    <i r="1">
      <x v="12"/>
    </i>
    <i r="1">
      <x v="21"/>
    </i>
    <i r="1">
      <x v="32"/>
    </i>
    <i r="1">
      <x v="42"/>
    </i>
    <i r="1">
      <x v="43"/>
    </i>
    <i>
      <x v="3"/>
    </i>
    <i r="1">
      <x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7"/>
    </i>
    <i r="1">
      <x v="29"/>
    </i>
    <i r="1">
      <x v="30"/>
    </i>
    <i r="1">
      <x v="31"/>
    </i>
    <i r="1">
      <x v="33"/>
    </i>
    <i r="1">
      <x v="34"/>
    </i>
    <i r="1">
      <x v="37"/>
    </i>
    <i r="1">
      <x v="38"/>
    </i>
    <i r="1">
      <x v="40"/>
    </i>
    <i r="1">
      <x v="41"/>
    </i>
    <i r="1">
      <x v="44"/>
    </i>
    <i r="1">
      <x v="45"/>
    </i>
    <i r="1">
      <x v="46"/>
    </i>
    <i r="1">
      <x v="48"/>
    </i>
    <i r="1">
      <x v="49"/>
    </i>
    <i t="grand">
      <x/>
    </i>
  </rowItems>
  <colItems count="1">
    <i/>
  </colItems>
  <dataFields count="1">
    <dataField name="Soma de Valor Total" fld="9" baseField="0" baseItem="0" numFmtId="44"/>
  </dataFields>
  <formats count="1">
    <format dxfId="1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203" firstHeaderRow="1" firstDataRow="1" firstDataCol="1"/>
  <pivotFields count="2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numFmtId="44" showAll="0"/>
    <pivotField showAll="0"/>
    <pivotField axis="axisRow" showAll="0">
      <items count="23">
        <item x="7"/>
        <item x="6"/>
        <item x="8"/>
        <item x="19"/>
        <item x="21"/>
        <item x="11"/>
        <item x="13"/>
        <item x="20"/>
        <item x="12"/>
        <item x="10"/>
        <item x="9"/>
        <item x="1"/>
        <item x="0"/>
        <item x="2"/>
        <item x="14"/>
        <item x="15"/>
        <item x="17"/>
        <item x="18"/>
        <item x="5"/>
        <item x="16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2"/>
        <item x="3"/>
        <item x="8"/>
        <item x="5"/>
        <item x="6"/>
        <item x="0"/>
        <item x="1"/>
        <item x="7"/>
        <item t="default"/>
      </items>
    </pivotField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3">
    <field x="14"/>
    <field x="12"/>
    <field x="5"/>
  </rowFields>
  <rowItems count="197">
    <i>
      <x/>
    </i>
    <i r="1">
      <x v="1"/>
    </i>
    <i r="2">
      <x/>
    </i>
    <i r="2">
      <x v="1"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6"/>
    </i>
    <i r="2">
      <x v="18"/>
    </i>
    <i r="2">
      <x v="19"/>
    </i>
    <i r="2">
      <x v="20"/>
    </i>
    <i r="2">
      <x v="21"/>
    </i>
    <i>
      <x v="1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>
      <x v="2"/>
    </i>
    <i r="1">
      <x v="2"/>
    </i>
    <i r="2">
      <x/>
    </i>
    <i r="2"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1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20"/>
    </i>
    <i r="2">
      <x v="2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r="2">
      <x v="11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t="grand">
      <x/>
    </i>
  </rowItems>
  <colItems count="1">
    <i/>
  </colItems>
  <dataFields count="1">
    <dataField name="Soma de Valor" fld="3" baseField="0" baseItem="0" numFmtId="44"/>
  </dataFields>
  <formats count="1">
    <format dxfId="9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199" firstHeaderRow="1" firstDataRow="1" firstDataCol="1"/>
  <pivotFields count="2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44" showAll="0"/>
    <pivotField showAll="0"/>
    <pivotField axis="axisRow" showAll="0">
      <items count="23">
        <item x="7"/>
        <item x="6"/>
        <item x="8"/>
        <item x="19"/>
        <item x="21"/>
        <item x="11"/>
        <item x="13"/>
        <item x="20"/>
        <item x="12"/>
        <item x="10"/>
        <item x="9"/>
        <item x="1"/>
        <item x="0"/>
        <item x="2"/>
        <item x="14"/>
        <item x="15"/>
        <item x="17"/>
        <item x="18"/>
        <item x="5"/>
        <item x="16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>
      <items count="10">
        <item x="4"/>
        <item x="2"/>
        <item x="3"/>
        <item x="8"/>
        <item x="5"/>
        <item x="6"/>
        <item x="0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2"/>
    <field x="5"/>
  </rowFields>
  <rowItems count="19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2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8"/>
    </i>
    <i r="1">
      <x v="19"/>
    </i>
    <i r="1">
      <x v="20"/>
    </i>
    <i r="1">
      <x v="2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grand">
      <x/>
    </i>
  </rowItems>
  <colItems count="1">
    <i/>
  </colItems>
  <dataFields count="1">
    <dataField name="Soma de Quantidade" fld="10" baseField="0" baseItem="0" numFmtId="2"/>
  </dataFields>
  <formats count="6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362" firstHeaderRow="1" firstDataRow="1" firstDataCol="1"/>
  <pivotFields count="2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3"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>
      <items count="49">
        <item x="7"/>
        <item x="30"/>
        <item x="29"/>
        <item x="17"/>
        <item x="6"/>
        <item x="18"/>
        <item x="5"/>
        <item x="31"/>
        <item x="11"/>
        <item x="37"/>
        <item x="10"/>
        <item x="26"/>
        <item x="27"/>
        <item x="39"/>
        <item x="28"/>
        <item x="24"/>
        <item x="33"/>
        <item x="43"/>
        <item x="44"/>
        <item x="23"/>
        <item x="36"/>
        <item x="14"/>
        <item x="40"/>
        <item x="1"/>
        <item x="13"/>
        <item x="2"/>
        <item x="4"/>
        <item x="19"/>
        <item x="46"/>
        <item x="12"/>
        <item x="41"/>
        <item x="21"/>
        <item x="20"/>
        <item x="34"/>
        <item x="42"/>
        <item x="35"/>
        <item x="45"/>
        <item x="0"/>
        <item x="15"/>
        <item x="8"/>
        <item x="16"/>
        <item x="3"/>
        <item x="25"/>
        <item x="9"/>
        <item x="38"/>
        <item x="32"/>
        <item x="22"/>
        <item x="47"/>
        <item t="default"/>
      </items>
    </pivotField>
    <pivotField showAll="0"/>
    <pivotField showAll="0">
      <items count="23">
        <item x="7"/>
        <item x="6"/>
        <item x="8"/>
        <item x="19"/>
        <item x="21"/>
        <item x="11"/>
        <item x="13"/>
        <item x="20"/>
        <item x="12"/>
        <item x="10"/>
        <item x="9"/>
        <item x="1"/>
        <item x="0"/>
        <item x="2"/>
        <item x="14"/>
        <item x="15"/>
        <item x="17"/>
        <item x="18"/>
        <item x="5"/>
        <item x="16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1">
        <item x="36"/>
        <item x="28"/>
        <item x="14"/>
        <item x="41"/>
        <item x="1"/>
        <item x="40"/>
        <item x="49"/>
        <item x="30"/>
        <item x="5"/>
        <item x="26"/>
        <item x="23"/>
        <item x="31"/>
        <item x="46"/>
        <item x="7"/>
        <item x="10"/>
        <item x="0"/>
        <item x="8"/>
        <item x="34"/>
        <item x="13"/>
        <item x="39"/>
        <item x="16"/>
        <item x="38"/>
        <item x="33"/>
        <item x="24"/>
        <item x="3"/>
        <item x="19"/>
        <item x="12"/>
        <item x="4"/>
        <item x="29"/>
        <item x="11"/>
        <item x="27"/>
        <item x="21"/>
        <item x="32"/>
        <item x="37"/>
        <item x="42"/>
        <item x="2"/>
        <item x="17"/>
        <item x="25"/>
        <item x="44"/>
        <item x="43"/>
        <item x="48"/>
        <item x="22"/>
        <item x="9"/>
        <item x="18"/>
        <item x="45"/>
        <item x="20"/>
        <item x="6"/>
        <item x="47"/>
        <item x="15"/>
        <item x="35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2"/>
    <field x="16"/>
  </rowFields>
  <rowItems count="356">
    <i>
      <x/>
    </i>
    <i r="1">
      <x/>
    </i>
    <i r="1">
      <x v="3"/>
    </i>
    <i r="1">
      <x v="5"/>
    </i>
    <i r="1">
      <x v="9"/>
    </i>
    <i r="1">
      <x v="10"/>
    </i>
    <i r="1">
      <x v="12"/>
    </i>
    <i r="1">
      <x v="14"/>
    </i>
    <i r="1">
      <x v="15"/>
    </i>
    <i r="1">
      <x v="19"/>
    </i>
    <i r="1">
      <x v="20"/>
    </i>
    <i r="1">
      <x v="21"/>
    </i>
    <i r="1">
      <x v="23"/>
    </i>
    <i r="1">
      <x v="25"/>
    </i>
    <i r="1">
      <x v="26"/>
    </i>
    <i r="1">
      <x v="30"/>
    </i>
    <i r="1">
      <x v="31"/>
    </i>
    <i r="1">
      <x v="34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4"/>
    </i>
    <i r="1">
      <x v="46"/>
    </i>
    <i r="1">
      <x v="47"/>
    </i>
    <i r="1">
      <x v="48"/>
    </i>
    <i r="1">
      <x v="49"/>
    </i>
    <i>
      <x v="1"/>
    </i>
    <i r="1">
      <x/>
    </i>
    <i r="1">
      <x v="1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 r="1">
      <x v="26"/>
    </i>
    <i r="1">
      <x v="27"/>
    </i>
    <i r="1">
      <x v="28"/>
    </i>
    <i r="1">
      <x v="29"/>
    </i>
    <i r="1">
      <x v="32"/>
    </i>
    <i r="1">
      <x v="33"/>
    </i>
    <i r="1">
      <x v="35"/>
    </i>
    <i r="1">
      <x v="36"/>
    </i>
    <i r="1">
      <x v="37"/>
    </i>
    <i r="1">
      <x v="39"/>
    </i>
    <i r="1">
      <x v="43"/>
    </i>
    <i r="1">
      <x v="44"/>
    </i>
    <i r="1">
      <x v="48"/>
    </i>
    <i r="1">
      <x v="49"/>
    </i>
    <i>
      <x v="2"/>
    </i>
    <i r="1">
      <x/>
    </i>
    <i r="1">
      <x v="1"/>
    </i>
    <i r="1">
      <x v="2"/>
    </i>
    <i r="1">
      <x v="3"/>
    </i>
    <i r="1">
      <x v="5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8"/>
    </i>
    <i r="1">
      <x v="19"/>
    </i>
    <i r="1">
      <x v="21"/>
    </i>
    <i r="1">
      <x v="26"/>
    </i>
    <i r="1">
      <x v="27"/>
    </i>
    <i r="1">
      <x v="28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8"/>
    </i>
    <i r="1">
      <x v="41"/>
    </i>
    <i r="1">
      <x v="42"/>
    </i>
    <i r="1">
      <x v="43"/>
    </i>
    <i r="1">
      <x v="44"/>
    </i>
    <i r="1">
      <x v="48"/>
    </i>
    <i>
      <x v="3"/>
    </i>
    <i r="1">
      <x v="2"/>
    </i>
    <i r="1">
      <x v="4"/>
    </i>
    <i r="1">
      <x v="7"/>
    </i>
    <i r="1">
      <x v="8"/>
    </i>
    <i r="1">
      <x v="9"/>
    </i>
    <i r="1">
      <x v="12"/>
    </i>
    <i r="1">
      <x v="14"/>
    </i>
    <i r="1">
      <x v="16"/>
    </i>
    <i r="1">
      <x v="17"/>
    </i>
    <i r="1">
      <x v="18"/>
    </i>
    <i r="1">
      <x v="20"/>
    </i>
    <i r="1">
      <x v="23"/>
    </i>
    <i r="1">
      <x v="24"/>
    </i>
    <i r="1">
      <x v="29"/>
    </i>
    <i r="1">
      <x v="33"/>
    </i>
    <i r="1">
      <x v="35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7"/>
    </i>
    <i r="1">
      <x v="48"/>
    </i>
    <i r="1">
      <x v="49"/>
    </i>
    <i>
      <x v="4"/>
    </i>
    <i r="1">
      <x v="2"/>
    </i>
    <i r="1">
      <x v="3"/>
    </i>
    <i r="1">
      <x v="6"/>
    </i>
    <i r="1">
      <x v="7"/>
    </i>
    <i r="1">
      <x v="11"/>
    </i>
    <i r="1">
      <x v="12"/>
    </i>
    <i r="1">
      <x v="15"/>
    </i>
    <i r="1">
      <x v="16"/>
    </i>
    <i r="1">
      <x v="17"/>
    </i>
    <i r="1">
      <x v="21"/>
    </i>
    <i r="1">
      <x v="23"/>
    </i>
    <i r="1">
      <x v="24"/>
    </i>
    <i r="1">
      <x v="25"/>
    </i>
    <i r="1">
      <x v="26"/>
    </i>
    <i r="1">
      <x v="29"/>
    </i>
    <i r="1">
      <x v="31"/>
    </i>
    <i r="1">
      <x v="32"/>
    </i>
    <i r="1">
      <x v="37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9"/>
    </i>
    <i>
      <x v="5"/>
    </i>
    <i r="1">
      <x/>
    </i>
    <i r="1">
      <x v="6"/>
    </i>
    <i r="1">
      <x v="7"/>
    </i>
    <i r="1">
      <x v="8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2"/>
    </i>
    <i r="1">
      <x v="23"/>
    </i>
    <i r="1">
      <x v="24"/>
    </i>
    <i r="1">
      <x v="25"/>
    </i>
    <i r="1">
      <x v="29"/>
    </i>
    <i r="1">
      <x v="30"/>
    </i>
    <i r="1">
      <x v="32"/>
    </i>
    <i r="1">
      <x v="34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7"/>
    </i>
    <i>
      <x v="6"/>
    </i>
    <i r="1">
      <x/>
    </i>
    <i r="1">
      <x v="1"/>
    </i>
    <i r="1">
      <x v="2"/>
    </i>
    <i r="1">
      <x v="5"/>
    </i>
    <i r="1">
      <x v="6"/>
    </i>
    <i r="1">
      <x v="12"/>
    </i>
    <i r="1">
      <x v="17"/>
    </i>
    <i r="1">
      <x v="19"/>
    </i>
    <i r="1">
      <x v="21"/>
    </i>
    <i r="1">
      <x v="22"/>
    </i>
    <i r="1">
      <x v="23"/>
    </i>
    <i r="1">
      <x v="26"/>
    </i>
    <i r="1">
      <x v="27"/>
    </i>
    <i r="1">
      <x v="29"/>
    </i>
    <i r="1">
      <x v="30"/>
    </i>
    <i r="1">
      <x v="32"/>
    </i>
    <i r="1">
      <x v="33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7"/>
    </i>
    <i r="1">
      <x v="48"/>
    </i>
    <i>
      <x v="7"/>
    </i>
    <i r="1">
      <x/>
    </i>
    <i r="1">
      <x v="3"/>
    </i>
    <i r="1">
      <x v="5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8"/>
    </i>
    <i r="1">
      <x v="20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1"/>
    </i>
    <i r="1">
      <x v="33"/>
    </i>
    <i r="1">
      <x v="34"/>
    </i>
    <i r="1">
      <x v="37"/>
    </i>
    <i r="1">
      <x v="39"/>
    </i>
    <i r="1">
      <x v="42"/>
    </i>
    <i r="1">
      <x v="45"/>
    </i>
    <i r="1">
      <x v="46"/>
    </i>
    <i r="1">
      <x v="47"/>
    </i>
    <i r="1">
      <x v="48"/>
    </i>
    <i r="1">
      <x v="49"/>
    </i>
    <i>
      <x v="8"/>
    </i>
    <i r="1">
      <x v="1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3"/>
    </i>
    <i r="1">
      <x v="14"/>
    </i>
    <i r="1">
      <x v="16"/>
    </i>
    <i r="1">
      <x v="18"/>
    </i>
    <i r="1">
      <x v="20"/>
    </i>
    <i r="1">
      <x v="21"/>
    </i>
    <i r="1">
      <x v="23"/>
    </i>
    <i r="1">
      <x v="25"/>
    </i>
    <i r="1">
      <x v="27"/>
    </i>
    <i r="1">
      <x v="28"/>
    </i>
    <i r="1">
      <x v="31"/>
    </i>
    <i r="1">
      <x v="33"/>
    </i>
    <i r="1">
      <x v="34"/>
    </i>
    <i r="1">
      <x v="35"/>
    </i>
    <i r="1">
      <x v="37"/>
    </i>
    <i r="1">
      <x v="39"/>
    </i>
    <i r="1">
      <x v="40"/>
    </i>
    <i r="1">
      <x v="42"/>
    </i>
    <i r="1">
      <x v="43"/>
    </i>
    <i r="1">
      <x v="44"/>
    </i>
    <i r="1">
      <x v="45"/>
    </i>
    <i r="1">
      <x v="48"/>
    </i>
    <i r="1">
      <x v="49"/>
    </i>
    <i>
      <x v="9"/>
    </i>
    <i r="1">
      <x/>
    </i>
    <i r="1">
      <x v="3"/>
    </i>
    <i r="1">
      <x v="4"/>
    </i>
    <i r="1">
      <x v="11"/>
    </i>
    <i r="1">
      <x v="12"/>
    </i>
    <i r="1">
      <x v="15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2"/>
    </i>
    <i r="1">
      <x v="33"/>
    </i>
    <i r="1">
      <x v="35"/>
    </i>
    <i r="1">
      <x v="36"/>
    </i>
    <i r="1">
      <x v="38"/>
    </i>
    <i r="1">
      <x v="45"/>
    </i>
    <i r="1">
      <x v="46"/>
    </i>
    <i r="1">
      <x v="47"/>
    </i>
    <i r="1">
      <x v="48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7"/>
    </i>
    <i r="1">
      <x v="29"/>
    </i>
    <i r="1">
      <x v="32"/>
    </i>
    <i r="1">
      <x v="33"/>
    </i>
    <i r="1">
      <x v="34"/>
    </i>
    <i r="1">
      <x v="36"/>
    </i>
    <i r="1">
      <x v="37"/>
    </i>
    <i r="1">
      <x v="38"/>
    </i>
    <i r="1">
      <x v="39"/>
    </i>
    <i r="1">
      <x v="42"/>
    </i>
    <i r="1">
      <x v="44"/>
    </i>
    <i r="1">
      <x v="46"/>
    </i>
    <i r="1">
      <x v="48"/>
    </i>
    <i r="1">
      <x v="49"/>
    </i>
    <i>
      <x v="11"/>
    </i>
    <i r="1">
      <x v="1"/>
    </i>
    <i r="1">
      <x v="2"/>
    </i>
    <i r="1">
      <x v="4"/>
    </i>
    <i r="1">
      <x v="7"/>
    </i>
    <i r="1">
      <x v="8"/>
    </i>
    <i r="1">
      <x v="9"/>
    </i>
    <i r="1">
      <x v="10"/>
    </i>
    <i r="1">
      <x v="13"/>
    </i>
    <i r="1">
      <x v="14"/>
    </i>
    <i r="1">
      <x v="15"/>
    </i>
    <i r="1">
      <x v="16"/>
    </i>
    <i r="1">
      <x v="18"/>
    </i>
    <i r="1">
      <x v="20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41"/>
    </i>
    <i r="1">
      <x v="42"/>
    </i>
    <i r="1">
      <x v="43"/>
    </i>
    <i r="1">
      <x v="45"/>
    </i>
    <i r="1">
      <x v="46"/>
    </i>
    <i r="1">
      <x v="48"/>
    </i>
    <i t="grand">
      <x/>
    </i>
  </rowItems>
  <colItems count="1">
    <i/>
  </colItems>
  <dataFields count="1">
    <dataField name="Soma de Valor" fld="3" baseField="0" baseItem="0" numFmtId="44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14" firstHeaderRow="1" firstDataRow="1" firstDataCol="1"/>
  <pivotFields count="22">
    <pivotField showAll="0" defaultSubtotal="0"/>
    <pivotField axis="axisRow" showAll="0">
      <items count="23">
        <item x="20"/>
        <item x="19"/>
        <item x="21"/>
        <item x="10"/>
        <item x="12"/>
        <item x="2"/>
        <item x="4"/>
        <item x="11"/>
        <item x="3"/>
        <item x="1"/>
        <item x="0"/>
        <item x="14"/>
        <item x="13"/>
        <item x="15"/>
        <item x="5"/>
        <item x="6"/>
        <item x="8"/>
        <item x="9"/>
        <item x="18"/>
        <item x="7"/>
        <item x="16"/>
        <item x="17"/>
        <item t="default"/>
      </items>
    </pivotField>
    <pivotField axis="axisRow" showAll="0">
      <items count="4">
        <item h="1" x="0"/>
        <item h="1" x="2"/>
        <item x="1"/>
        <item t="default"/>
      </items>
    </pivotField>
    <pivotField showAll="0"/>
    <pivotField showAll="0"/>
    <pivotField showAll="0"/>
    <pivotField numFmtId="44" showAll="0" defaultSubtotal="0"/>
    <pivotField numFmtId="44" showAll="0" defaultSubtotal="0"/>
    <pivotField dataField="1" numFmtId="2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</pivotFields>
  <rowFields count="2">
    <field x="2"/>
    <field x="1"/>
  </rowFields>
  <rowItems count="8">
    <i>
      <x v="2"/>
    </i>
    <i r="1">
      <x v="4"/>
    </i>
    <i r="1">
      <x v="7"/>
    </i>
    <i r="1">
      <x v="8"/>
    </i>
    <i r="1">
      <x v="13"/>
    </i>
    <i r="1">
      <x v="15"/>
    </i>
    <i r="1">
      <x v="20"/>
    </i>
    <i t="grand">
      <x/>
    </i>
  </rowItems>
  <colItems count="1">
    <i/>
  </colItems>
  <dataFields count="1">
    <dataField name="Soma de Qtd. Vendas" fld="8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AI81"/>
  <sheetViews>
    <sheetView showGridLines="0" topLeftCell="A10" zoomScale="85" zoomScaleNormal="85" workbookViewId="0"/>
  </sheetViews>
  <sheetFormatPr defaultRowHeight="21.9" customHeight="1" x14ac:dyDescent="0.3"/>
  <cols>
    <col min="1" max="1" width="57" style="1" customWidth="1"/>
    <col min="2" max="2" width="15" style="7" customWidth="1"/>
    <col min="3" max="3" width="26.88671875" style="13" customWidth="1"/>
    <col min="4" max="4" width="26.88671875" style="7" customWidth="1"/>
    <col min="5" max="5" width="26.88671875" style="9" customWidth="1"/>
    <col min="6" max="6" width="27" style="57" customWidth="1"/>
    <col min="7" max="7" width="18.33203125" style="57" customWidth="1"/>
    <col min="8" max="8" width="18" style="7" customWidth="1"/>
    <col min="9" max="9" width="23.44140625" style="7" customWidth="1"/>
    <col min="10" max="10" width="30.88671875" style="60" customWidth="1"/>
    <col min="11" max="11" width="26.109375" style="10" customWidth="1"/>
    <col min="12" max="12" width="20.33203125" style="11" customWidth="1"/>
    <col min="13" max="13" width="15.88671875" style="11" customWidth="1"/>
    <col min="14" max="14" width="18" style="11" customWidth="1"/>
    <col min="15" max="15" width="16.33203125" style="11" customWidth="1"/>
    <col min="16" max="16" width="16.5546875" style="11" customWidth="1"/>
    <col min="17" max="17" width="15.6640625" style="11" customWidth="1"/>
    <col min="18" max="18" width="16.88671875" style="11" customWidth="1"/>
    <col min="19" max="19" width="17.44140625" style="11" customWidth="1"/>
    <col min="20" max="20" width="19" style="11" customWidth="1"/>
    <col min="21" max="21" width="17.44140625" style="11" customWidth="1"/>
    <col min="22" max="23" width="18.6640625" style="11" customWidth="1"/>
    <col min="24" max="24" width="17.33203125" style="11" customWidth="1"/>
    <col min="25" max="25" width="9.44140625" style="7" customWidth="1"/>
    <col min="26" max="35" width="9.109375" style="7"/>
  </cols>
  <sheetData>
    <row r="2" spans="3:6" ht="21.9" customHeight="1" x14ac:dyDescent="0.3">
      <c r="C2" s="8"/>
    </row>
    <row r="3" spans="3:6" ht="30" customHeight="1" x14ac:dyDescent="0.8">
      <c r="C3" s="15" t="s">
        <v>98</v>
      </c>
    </row>
    <row r="4" spans="3:6" ht="21.9" customHeight="1" x14ac:dyDescent="0.3">
      <c r="C4" s="12"/>
    </row>
    <row r="5" spans="3:6" ht="21.9" customHeight="1" x14ac:dyDescent="0.3">
      <c r="C5" s="14" t="s">
        <v>99</v>
      </c>
      <c r="F5" s="58"/>
    </row>
    <row r="6" spans="3:6" ht="21.9" customHeight="1" x14ac:dyDescent="0.3">
      <c r="C6" s="47"/>
      <c r="D6" s="16"/>
    </row>
    <row r="7" spans="3:6" ht="21.9" customHeight="1" x14ac:dyDescent="0.3">
      <c r="C7" s="14" t="s">
        <v>3</v>
      </c>
    </row>
    <row r="8" spans="3:6" ht="21.9" customHeight="1" x14ac:dyDescent="0.3">
      <c r="C8" s="47"/>
      <c r="D8" s="16"/>
    </row>
    <row r="9" spans="3:6" ht="21.9" customHeight="1" x14ac:dyDescent="0.3">
      <c r="C9" s="14" t="s">
        <v>20</v>
      </c>
    </row>
    <row r="10" spans="3:6" ht="21.9" customHeight="1" x14ac:dyDescent="0.3">
      <c r="C10" s="48"/>
      <c r="D10" s="16"/>
    </row>
    <row r="11" spans="3:6" ht="21.9" customHeight="1" x14ac:dyDescent="0.3">
      <c r="C11" s="14" t="s">
        <v>4</v>
      </c>
    </row>
    <row r="12" spans="3:6" ht="21.9" customHeight="1" x14ac:dyDescent="0.3">
      <c r="C12" s="47"/>
      <c r="D12" s="16"/>
    </row>
    <row r="13" spans="3:6" ht="21.9" customHeight="1" x14ac:dyDescent="0.3">
      <c r="C13" s="14" t="s">
        <v>5</v>
      </c>
    </row>
    <row r="14" spans="3:6" ht="21.9" customHeight="1" x14ac:dyDescent="0.3">
      <c r="C14" s="47"/>
      <c r="D14" s="16"/>
    </row>
    <row r="15" spans="3:6" ht="21.9" customHeight="1" x14ac:dyDescent="0.3">
      <c r="C15" s="14" t="s">
        <v>111</v>
      </c>
    </row>
    <row r="16" spans="3:6" ht="21.9" customHeight="1" x14ac:dyDescent="0.3">
      <c r="C16" s="48"/>
      <c r="D16" s="16"/>
    </row>
    <row r="17" spans="3:24" ht="21.9" customHeight="1" x14ac:dyDescent="0.3">
      <c r="C17" s="14" t="s">
        <v>6</v>
      </c>
    </row>
    <row r="18" spans="3:24" ht="21.9" customHeight="1" x14ac:dyDescent="0.3">
      <c r="C18" s="48"/>
      <c r="D18" s="16"/>
    </row>
    <row r="19" spans="3:24" ht="21.9" customHeight="1" x14ac:dyDescent="0.3">
      <c r="C19" s="14" t="s">
        <v>22</v>
      </c>
    </row>
    <row r="20" spans="3:24" ht="21.9" customHeight="1" x14ac:dyDescent="0.3">
      <c r="C20" s="55"/>
      <c r="D20" s="16"/>
    </row>
    <row r="27" spans="3:24" ht="21.9" customHeight="1" x14ac:dyDescent="0.5">
      <c r="C27" s="38"/>
    </row>
    <row r="31" spans="3:24" ht="21.9" customHeight="1" x14ac:dyDescent="0.3">
      <c r="C31" s="2" t="s">
        <v>2</v>
      </c>
      <c r="D31" s="2" t="s">
        <v>3</v>
      </c>
      <c r="E31" s="3" t="s">
        <v>20</v>
      </c>
      <c r="F31" s="59" t="s">
        <v>4</v>
      </c>
      <c r="G31" s="59" t="s">
        <v>5</v>
      </c>
      <c r="H31" s="2" t="s">
        <v>111</v>
      </c>
      <c r="I31" s="2" t="s">
        <v>6</v>
      </c>
      <c r="J31" s="59" t="s">
        <v>22</v>
      </c>
      <c r="K31" s="2" t="s">
        <v>122</v>
      </c>
      <c r="L31" s="4" t="s">
        <v>7</v>
      </c>
      <c r="M31" s="4" t="s">
        <v>8</v>
      </c>
      <c r="N31" s="4" t="s">
        <v>9</v>
      </c>
      <c r="O31" s="4" t="s">
        <v>10</v>
      </c>
      <c r="P31" s="4" t="s">
        <v>11</v>
      </c>
      <c r="Q31" s="4" t="s">
        <v>12</v>
      </c>
      <c r="R31" s="4" t="s">
        <v>13</v>
      </c>
      <c r="S31" s="4" t="s">
        <v>14</v>
      </c>
      <c r="T31" s="4" t="s">
        <v>15</v>
      </c>
      <c r="U31" s="4" t="s">
        <v>16</v>
      </c>
      <c r="V31" s="4" t="s">
        <v>17</v>
      </c>
      <c r="W31" s="4" t="s">
        <v>18</v>
      </c>
      <c r="X31" s="4" t="s">
        <v>19</v>
      </c>
    </row>
    <row r="32" spans="3:24" ht="21.9" customHeight="1" x14ac:dyDescent="0.3">
      <c r="C32" s="24" t="s">
        <v>50</v>
      </c>
      <c r="D32" s="24" t="s">
        <v>291</v>
      </c>
      <c r="E32" s="24" t="s">
        <v>292</v>
      </c>
      <c r="F32" s="25" t="s">
        <v>293</v>
      </c>
      <c r="G32" s="25" t="s">
        <v>46</v>
      </c>
      <c r="H32" s="24" t="s">
        <v>115</v>
      </c>
      <c r="I32" s="26" t="s">
        <v>298</v>
      </c>
      <c r="J32" s="25" t="s">
        <v>295</v>
      </c>
      <c r="K32" s="65">
        <f>COUNTIF(Vendas!R:R,Clientes!C32)</f>
        <v>12</v>
      </c>
      <c r="L32" s="66">
        <f>SUMIF(Vendas!R:R,Clientes!C32,Vendas!F:F)</f>
        <v>9279</v>
      </c>
      <c r="M32" s="66">
        <f>SUMIFS(Vendas!F:F,Vendas!E:E,1,Vendas!R:R,Clientes!C32)</f>
        <v>35</v>
      </c>
      <c r="N32" s="66">
        <f>SUMIFS(Vendas!F:F,Vendas!E:E,2,Vendas!R:R,Clientes!C32)</f>
        <v>1828</v>
      </c>
      <c r="O32" s="66">
        <f>SUMIFS(Vendas!F:F,Vendas!E:E,3,Vendas!R:R,Clientes!C32)</f>
        <v>0</v>
      </c>
      <c r="P32" s="66">
        <f>SUMIFS(Vendas!F:F,Vendas!E:E,4,Vendas!R:R,Clientes!C32)</f>
        <v>310</v>
      </c>
      <c r="Q32" s="66">
        <f>SUMIFS(Vendas!F:F,Vendas!E:E,5,Vendas!R:R,Clientes!C32)</f>
        <v>0</v>
      </c>
      <c r="R32" s="66">
        <f>SUMIFS(Vendas!F:F,Vendas!E:E,6,Vendas!R:R,Clientes!C32)</f>
        <v>380</v>
      </c>
      <c r="S32" s="66">
        <f>SUMIFS(Vendas!F:F,Vendas!E:E,7,Vendas!R:R,Clientes!C32)</f>
        <v>910</v>
      </c>
      <c r="T32" s="66">
        <f>SUMIFS(Vendas!F:F,Vendas!E:E,8,Vendas!R:R,Clientes!C32)</f>
        <v>76</v>
      </c>
      <c r="U32" s="66">
        <f>SUMIFS(Vendas!F:F,Vendas!E:E,9,Vendas!R:R,Clientes!C32)</f>
        <v>5600</v>
      </c>
      <c r="V32" s="66">
        <f>SUMIFS(Vendas!F:F,Vendas!E:E,10,Vendas!R:R,Clientes!C32)</f>
        <v>0</v>
      </c>
      <c r="W32" s="66">
        <f>SUMIFS(Vendas!F:F,Vendas!E:E,11,Vendas!R:R,Clientes!C32)</f>
        <v>140</v>
      </c>
      <c r="X32" s="66">
        <f>SUMIFS(Vendas!F:F,Vendas!E:E,12,Vendas!R:R,Clientes!C32)</f>
        <v>0</v>
      </c>
    </row>
    <row r="33" spans="3:24" ht="21.9" customHeight="1" x14ac:dyDescent="0.3">
      <c r="C33" s="24" t="s">
        <v>52</v>
      </c>
      <c r="D33" s="24" t="s">
        <v>24</v>
      </c>
      <c r="E33" s="24" t="s">
        <v>348</v>
      </c>
      <c r="F33" s="25" t="s">
        <v>123</v>
      </c>
      <c r="G33" s="25" t="s">
        <v>44</v>
      </c>
      <c r="H33" s="24" t="s">
        <v>113</v>
      </c>
      <c r="I33" s="26" t="s">
        <v>299</v>
      </c>
      <c r="J33" s="25" t="s">
        <v>125</v>
      </c>
      <c r="K33" s="65">
        <f>COUNTIF(Vendas!R:R,Clientes!C33)</f>
        <v>10</v>
      </c>
      <c r="L33" s="66">
        <f>SUMIF(Vendas!R:R,Clientes!C33,Vendas!F:F)</f>
        <v>6445</v>
      </c>
      <c r="M33" s="66">
        <f>SUMIFS(Vendas!F:F,Vendas!E:E,1,Vendas!R:R,Clientes!C33)</f>
        <v>600</v>
      </c>
      <c r="N33" s="66">
        <f>SUMIFS(Vendas!F:F,Vendas!E:E,2,Vendas!R:R,Clientes!C33)</f>
        <v>500</v>
      </c>
      <c r="O33" s="66">
        <f>SUMIFS(Vendas!F:F,Vendas!E:E,3,Vendas!R:R,Clientes!C33)</f>
        <v>1500</v>
      </c>
      <c r="P33" s="66">
        <f>SUMIFS(Vendas!F:F,Vendas!E:E,4,Vendas!R:R,Clientes!C33)</f>
        <v>1345</v>
      </c>
      <c r="Q33" s="66">
        <f>SUMIFS(Vendas!F:F,Vendas!E:E,5,Vendas!R:R,Clientes!C33)</f>
        <v>500</v>
      </c>
      <c r="R33" s="66">
        <f>SUMIFS(Vendas!F:F,Vendas!E:E,6,Vendas!R:R,Clientes!C33)</f>
        <v>0</v>
      </c>
      <c r="S33" s="66">
        <f>SUMIFS(Vendas!F:F,Vendas!E:E,7,Vendas!R:R,Clientes!C33)</f>
        <v>0</v>
      </c>
      <c r="T33" s="66">
        <f>SUMIFS(Vendas!F:F,Vendas!E:E,8,Vendas!R:R,Clientes!C33)</f>
        <v>0</v>
      </c>
      <c r="U33" s="66">
        <f>SUMIFS(Vendas!F:F,Vendas!E:E,9,Vendas!R:R,Clientes!C33)</f>
        <v>800</v>
      </c>
      <c r="V33" s="66">
        <f>SUMIFS(Vendas!F:F,Vendas!E:E,10,Vendas!R:R,Clientes!C33)</f>
        <v>0</v>
      </c>
      <c r="W33" s="66">
        <f>SUMIFS(Vendas!F:F,Vendas!E:E,11,Vendas!R:R,Clientes!C33)</f>
        <v>1200</v>
      </c>
      <c r="X33" s="66">
        <f>SUMIFS(Vendas!F:F,Vendas!E:E,12,Vendas!R:R,Clientes!C33)</f>
        <v>0</v>
      </c>
    </row>
    <row r="34" spans="3:24" ht="21.9" customHeight="1" x14ac:dyDescent="0.3">
      <c r="C34" s="24" t="s">
        <v>53</v>
      </c>
      <c r="D34" s="24" t="s">
        <v>25</v>
      </c>
      <c r="E34" s="24" t="s">
        <v>349</v>
      </c>
      <c r="F34" s="25" t="s">
        <v>126</v>
      </c>
      <c r="G34" s="25" t="s">
        <v>45</v>
      </c>
      <c r="H34" s="24" t="s">
        <v>113</v>
      </c>
      <c r="I34" s="26" t="s">
        <v>300</v>
      </c>
      <c r="J34" s="25" t="s">
        <v>128</v>
      </c>
      <c r="K34" s="65">
        <f>COUNTIF(Vendas!R:R,Clientes!C34)</f>
        <v>11</v>
      </c>
      <c r="L34" s="66">
        <f>SUMIF(Vendas!R:R,Clientes!C34,Vendas!F:F)</f>
        <v>6270</v>
      </c>
      <c r="M34" s="66">
        <f>SUMIFS(Vendas!F:F,Vendas!E:E,1,Vendas!R:R,Clientes!C34)</f>
        <v>1200</v>
      </c>
      <c r="N34" s="66">
        <f>SUMIFS(Vendas!F:F,Vendas!E:E,2,Vendas!R:R,Clientes!C34)</f>
        <v>0</v>
      </c>
      <c r="O34" s="66">
        <f>SUMIFS(Vendas!F:F,Vendas!E:E,3,Vendas!R:R,Clientes!C34)</f>
        <v>270</v>
      </c>
      <c r="P34" s="66">
        <f>SUMIFS(Vendas!F:F,Vendas!E:E,4,Vendas!R:R,Clientes!C34)</f>
        <v>1320</v>
      </c>
      <c r="Q34" s="66">
        <f>SUMIFS(Vendas!F:F,Vendas!E:E,5,Vendas!R:R,Clientes!C34)</f>
        <v>1410</v>
      </c>
      <c r="R34" s="66">
        <f>SUMIFS(Vendas!F:F,Vendas!E:E,6,Vendas!R:R,Clientes!C34)</f>
        <v>300</v>
      </c>
      <c r="S34" s="66">
        <f>SUMIFS(Vendas!F:F,Vendas!E:E,7,Vendas!R:R,Clientes!C34)</f>
        <v>70</v>
      </c>
      <c r="T34" s="66">
        <f>SUMIFS(Vendas!F:F,Vendas!E:E,8,Vendas!R:R,Clientes!C34)</f>
        <v>0</v>
      </c>
      <c r="U34" s="66">
        <f>SUMIFS(Vendas!F:F,Vendas!E:E,9,Vendas!R:R,Clientes!C34)</f>
        <v>0</v>
      </c>
      <c r="V34" s="66">
        <f>SUMIFS(Vendas!F:F,Vendas!E:E,10,Vendas!R:R,Clientes!C34)</f>
        <v>0</v>
      </c>
      <c r="W34" s="66">
        <f>SUMIFS(Vendas!F:F,Vendas!E:E,11,Vendas!R:R,Clientes!C34)</f>
        <v>0</v>
      </c>
      <c r="X34" s="66">
        <f>SUMIFS(Vendas!F:F,Vendas!E:E,12,Vendas!R:R,Clientes!C34)</f>
        <v>1700</v>
      </c>
    </row>
    <row r="35" spans="3:24" ht="21.9" customHeight="1" x14ac:dyDescent="0.3">
      <c r="C35" s="24" t="s">
        <v>54</v>
      </c>
      <c r="D35" s="24" t="s">
        <v>26</v>
      </c>
      <c r="E35" s="24" t="s">
        <v>350</v>
      </c>
      <c r="F35" s="25" t="s">
        <v>129</v>
      </c>
      <c r="G35" s="25" t="s">
        <v>46</v>
      </c>
      <c r="H35" s="24" t="s">
        <v>114</v>
      </c>
      <c r="I35" s="26" t="s">
        <v>301</v>
      </c>
      <c r="J35" s="25" t="s">
        <v>131</v>
      </c>
      <c r="K35" s="65">
        <f>COUNTIF(Vendas!R:R,Clientes!C35)</f>
        <v>13</v>
      </c>
      <c r="L35" s="66">
        <f>SUMIF(Vendas!R:R,Clientes!C35,Vendas!F:F)</f>
        <v>7418</v>
      </c>
      <c r="M35" s="66">
        <f>SUMIFS(Vendas!F:F,Vendas!E:E,1,Vendas!R:R,Clientes!C35)</f>
        <v>2200</v>
      </c>
      <c r="N35" s="66">
        <f>SUMIFS(Vendas!F:F,Vendas!E:E,2,Vendas!R:R,Clientes!C35)</f>
        <v>240</v>
      </c>
      <c r="O35" s="66">
        <f>SUMIFS(Vendas!F:F,Vendas!E:E,3,Vendas!R:R,Clientes!C35)</f>
        <v>750</v>
      </c>
      <c r="P35" s="66">
        <f>SUMIFS(Vendas!F:F,Vendas!E:E,4,Vendas!R:R,Clientes!C35)</f>
        <v>228</v>
      </c>
      <c r="Q35" s="66">
        <f>SUMIFS(Vendas!F:F,Vendas!E:E,5,Vendas!R:R,Clientes!C35)</f>
        <v>100</v>
      </c>
      <c r="R35" s="66">
        <f>SUMIFS(Vendas!F:F,Vendas!E:E,6,Vendas!R:R,Clientes!C35)</f>
        <v>80</v>
      </c>
      <c r="S35" s="66">
        <f>SUMIFS(Vendas!F:F,Vendas!E:E,7,Vendas!R:R,Clientes!C35)</f>
        <v>420</v>
      </c>
      <c r="T35" s="66">
        <f>SUMIFS(Vendas!F:F,Vendas!E:E,8,Vendas!R:R,Clientes!C35)</f>
        <v>3050</v>
      </c>
      <c r="U35" s="66">
        <f>SUMIFS(Vendas!F:F,Vendas!E:E,9,Vendas!R:R,Clientes!C35)</f>
        <v>0</v>
      </c>
      <c r="V35" s="66">
        <f>SUMIFS(Vendas!F:F,Vendas!E:E,10,Vendas!R:R,Clientes!C35)</f>
        <v>350</v>
      </c>
      <c r="W35" s="66">
        <f>SUMIFS(Vendas!F:F,Vendas!E:E,11,Vendas!R:R,Clientes!C35)</f>
        <v>0</v>
      </c>
      <c r="X35" s="66">
        <f>SUMIFS(Vendas!F:F,Vendas!E:E,12,Vendas!R:R,Clientes!C35)</f>
        <v>0</v>
      </c>
    </row>
    <row r="36" spans="3:24" ht="21.9" customHeight="1" x14ac:dyDescent="0.3">
      <c r="C36" s="24" t="s">
        <v>55</v>
      </c>
      <c r="D36" s="24" t="s">
        <v>27</v>
      </c>
      <c r="E36" s="24" t="s">
        <v>351</v>
      </c>
      <c r="F36" s="25" t="s">
        <v>132</v>
      </c>
      <c r="G36" s="25" t="s">
        <v>47</v>
      </c>
      <c r="H36" s="24" t="s">
        <v>113</v>
      </c>
      <c r="I36" s="26" t="s">
        <v>302</v>
      </c>
      <c r="J36" s="25" t="s">
        <v>134</v>
      </c>
      <c r="K36" s="65">
        <f>COUNTIF(Vendas!R:R,Clientes!C36)</f>
        <v>10</v>
      </c>
      <c r="L36" s="66">
        <f>SUMIF(Vendas!R:R,Clientes!C36,Vendas!F:F)</f>
        <v>7360</v>
      </c>
      <c r="M36" s="66">
        <f>SUMIFS(Vendas!F:F,Vendas!E:E,1,Vendas!R:R,Clientes!C36)</f>
        <v>1500</v>
      </c>
      <c r="N36" s="66">
        <f>SUMIFS(Vendas!F:F,Vendas!E:E,2,Vendas!R:R,Clientes!C36)</f>
        <v>0</v>
      </c>
      <c r="O36" s="66">
        <f>SUMIFS(Vendas!F:F,Vendas!E:E,3,Vendas!R:R,Clientes!C36)</f>
        <v>0</v>
      </c>
      <c r="P36" s="66">
        <f>SUMIFS(Vendas!F:F,Vendas!E:E,4,Vendas!R:R,Clientes!C36)</f>
        <v>0</v>
      </c>
      <c r="Q36" s="66">
        <f>SUMIFS(Vendas!F:F,Vendas!E:E,5,Vendas!R:R,Clientes!C36)</f>
        <v>540</v>
      </c>
      <c r="R36" s="66">
        <f>SUMIFS(Vendas!F:F,Vendas!E:E,6,Vendas!R:R,Clientes!C36)</f>
        <v>0</v>
      </c>
      <c r="S36" s="66">
        <f>SUMIFS(Vendas!F:F,Vendas!E:E,7,Vendas!R:R,Clientes!C36)</f>
        <v>0</v>
      </c>
      <c r="T36" s="66">
        <f>SUMIFS(Vendas!F:F,Vendas!E:E,8,Vendas!R:R,Clientes!C36)</f>
        <v>1220</v>
      </c>
      <c r="U36" s="66">
        <f>SUMIFS(Vendas!F:F,Vendas!E:E,9,Vendas!R:R,Clientes!C36)</f>
        <v>0</v>
      </c>
      <c r="V36" s="66">
        <f>SUMIFS(Vendas!F:F,Vendas!E:E,10,Vendas!R:R,Clientes!C36)</f>
        <v>2100</v>
      </c>
      <c r="W36" s="66">
        <f>SUMIFS(Vendas!F:F,Vendas!E:E,11,Vendas!R:R,Clientes!C36)</f>
        <v>1320</v>
      </c>
      <c r="X36" s="66">
        <f>SUMIFS(Vendas!F:F,Vendas!E:E,12,Vendas!R:R,Clientes!C36)</f>
        <v>680</v>
      </c>
    </row>
    <row r="37" spans="3:24" ht="21.9" customHeight="1" x14ac:dyDescent="0.3">
      <c r="C37" s="24" t="s">
        <v>56</v>
      </c>
      <c r="D37" s="24" t="s">
        <v>28</v>
      </c>
      <c r="E37" s="24" t="s">
        <v>352</v>
      </c>
      <c r="F37" s="25" t="s">
        <v>135</v>
      </c>
      <c r="G37" s="25" t="s">
        <v>48</v>
      </c>
      <c r="H37" s="24" t="s">
        <v>115</v>
      </c>
      <c r="I37" s="26" t="s">
        <v>303</v>
      </c>
      <c r="J37" s="25" t="s">
        <v>137</v>
      </c>
      <c r="K37" s="65">
        <f>COUNTIF(Vendas!R:R,Clientes!C37)</f>
        <v>7</v>
      </c>
      <c r="L37" s="66">
        <f>SUMIF(Vendas!R:R,Clientes!C37,Vendas!F:F)</f>
        <v>2070</v>
      </c>
      <c r="M37" s="66">
        <f>SUMIFS(Vendas!F:F,Vendas!E:E,1,Vendas!R:R,Clientes!C37)</f>
        <v>0</v>
      </c>
      <c r="N37" s="66">
        <f>SUMIFS(Vendas!F:F,Vendas!E:E,2,Vendas!R:R,Clientes!C37)</f>
        <v>245</v>
      </c>
      <c r="O37" s="66">
        <f>SUMIFS(Vendas!F:F,Vendas!E:E,3,Vendas!R:R,Clientes!C37)</f>
        <v>0</v>
      </c>
      <c r="P37" s="66">
        <f>SUMIFS(Vendas!F:F,Vendas!E:E,4,Vendas!R:R,Clientes!C37)</f>
        <v>105</v>
      </c>
      <c r="Q37" s="66">
        <f>SUMIFS(Vendas!F:F,Vendas!E:E,5,Vendas!R:R,Clientes!C37)</f>
        <v>0</v>
      </c>
      <c r="R37" s="66">
        <f>SUMIFS(Vendas!F:F,Vendas!E:E,6,Vendas!R:R,Clientes!C37)</f>
        <v>750</v>
      </c>
      <c r="S37" s="66">
        <f>SUMIFS(Vendas!F:F,Vendas!E:E,7,Vendas!R:R,Clientes!C37)</f>
        <v>0</v>
      </c>
      <c r="T37" s="66">
        <f>SUMIFS(Vendas!F:F,Vendas!E:E,8,Vendas!R:R,Clientes!C37)</f>
        <v>0</v>
      </c>
      <c r="U37" s="66">
        <f>SUMIFS(Vendas!F:F,Vendas!E:E,9,Vendas!R:R,Clientes!C37)</f>
        <v>0</v>
      </c>
      <c r="V37" s="66">
        <f>SUMIFS(Vendas!F:F,Vendas!E:E,10,Vendas!R:R,Clientes!C37)</f>
        <v>0</v>
      </c>
      <c r="W37" s="66">
        <f>SUMIFS(Vendas!F:F,Vendas!E:E,11,Vendas!R:R,Clientes!C37)</f>
        <v>120</v>
      </c>
      <c r="X37" s="66">
        <f>SUMIFS(Vendas!F:F,Vendas!E:E,12,Vendas!R:R,Clientes!C37)</f>
        <v>850</v>
      </c>
    </row>
    <row r="38" spans="3:24" ht="21.9" customHeight="1" x14ac:dyDescent="0.3">
      <c r="C38" s="24" t="s">
        <v>57</v>
      </c>
      <c r="D38" s="24" t="s">
        <v>29</v>
      </c>
      <c r="E38" s="24" t="s">
        <v>353</v>
      </c>
      <c r="F38" s="25" t="s">
        <v>138</v>
      </c>
      <c r="G38" s="25" t="s">
        <v>49</v>
      </c>
      <c r="H38" s="24" t="s">
        <v>113</v>
      </c>
      <c r="I38" s="26" t="s">
        <v>304</v>
      </c>
      <c r="J38" s="25" t="s">
        <v>140</v>
      </c>
      <c r="K38" s="65">
        <f>COUNTIF(Vendas!R:R,Clientes!C38)</f>
        <v>10</v>
      </c>
      <c r="L38" s="66">
        <f>SUMIF(Vendas!R:R,Clientes!C38,Vendas!F:F)</f>
        <v>15310</v>
      </c>
      <c r="M38" s="66">
        <f>SUMIFS(Vendas!F:F,Vendas!E:E,1,Vendas!R:R,Clientes!C38)</f>
        <v>3200</v>
      </c>
      <c r="N38" s="66">
        <f>SUMIFS(Vendas!F:F,Vendas!E:E,2,Vendas!R:R,Clientes!C38)</f>
        <v>1200</v>
      </c>
      <c r="O38" s="66">
        <f>SUMIFS(Vendas!F:F,Vendas!E:E,3,Vendas!R:R,Clientes!C38)</f>
        <v>140</v>
      </c>
      <c r="P38" s="66">
        <f>SUMIFS(Vendas!F:F,Vendas!E:E,4,Vendas!R:R,Clientes!C38)</f>
        <v>0</v>
      </c>
      <c r="Q38" s="66">
        <f>SUMIFS(Vendas!F:F,Vendas!E:E,5,Vendas!R:R,Clientes!C38)</f>
        <v>0</v>
      </c>
      <c r="R38" s="66">
        <f>SUMIFS(Vendas!F:F,Vendas!E:E,6,Vendas!R:R,Clientes!C38)</f>
        <v>0</v>
      </c>
      <c r="S38" s="66">
        <f>SUMIFS(Vendas!F:F,Vendas!E:E,7,Vendas!R:R,Clientes!C38)</f>
        <v>0</v>
      </c>
      <c r="T38" s="66">
        <f>SUMIFS(Vendas!F:F,Vendas!E:E,8,Vendas!R:R,Clientes!C38)</f>
        <v>3310</v>
      </c>
      <c r="U38" s="66">
        <f>SUMIFS(Vendas!F:F,Vendas!E:E,9,Vendas!R:R,Clientes!C38)</f>
        <v>960</v>
      </c>
      <c r="V38" s="66">
        <f>SUMIFS(Vendas!F:F,Vendas!E:E,10,Vendas!R:R,Clientes!C38)</f>
        <v>0</v>
      </c>
      <c r="W38" s="66">
        <f>SUMIFS(Vendas!F:F,Vendas!E:E,11,Vendas!R:R,Clientes!C38)</f>
        <v>900</v>
      </c>
      <c r="X38" s="66">
        <f>SUMIFS(Vendas!F:F,Vendas!E:E,12,Vendas!R:R,Clientes!C38)</f>
        <v>5600</v>
      </c>
    </row>
    <row r="39" spans="3:24" ht="21.9" customHeight="1" x14ac:dyDescent="0.3">
      <c r="C39" s="24" t="s">
        <v>58</v>
      </c>
      <c r="D39" s="24" t="s">
        <v>30</v>
      </c>
      <c r="E39" s="24" t="s">
        <v>354</v>
      </c>
      <c r="F39" s="25" t="s">
        <v>141</v>
      </c>
      <c r="G39" s="25" t="s">
        <v>46</v>
      </c>
      <c r="H39" s="24" t="s">
        <v>116</v>
      </c>
      <c r="I39" s="26" t="s">
        <v>305</v>
      </c>
      <c r="J39" s="25" t="s">
        <v>143</v>
      </c>
      <c r="K39" s="65">
        <f>COUNTIF(Vendas!R:R,Clientes!C39)</f>
        <v>9</v>
      </c>
      <c r="L39" s="66">
        <f>SUMIF(Vendas!R:R,Clientes!C39,Vendas!F:F)</f>
        <v>3741</v>
      </c>
      <c r="M39" s="66">
        <f>SUMIFS(Vendas!F:F,Vendas!E:E,1,Vendas!R:R,Clientes!C39)</f>
        <v>860</v>
      </c>
      <c r="N39" s="66">
        <f>SUMIFS(Vendas!F:F,Vendas!E:E,2,Vendas!R:R,Clientes!C39)</f>
        <v>0</v>
      </c>
      <c r="O39" s="66">
        <f>SUMIFS(Vendas!F:F,Vendas!E:E,3,Vendas!R:R,Clientes!C39)</f>
        <v>1600</v>
      </c>
      <c r="P39" s="66">
        <f>SUMIFS(Vendas!F:F,Vendas!E:E,4,Vendas!R:R,Clientes!C39)</f>
        <v>0</v>
      </c>
      <c r="Q39" s="66">
        <f>SUMIFS(Vendas!F:F,Vendas!E:E,5,Vendas!R:R,Clientes!C39)</f>
        <v>0</v>
      </c>
      <c r="R39" s="66">
        <f>SUMIFS(Vendas!F:F,Vendas!E:E,6,Vendas!R:R,Clientes!C39)</f>
        <v>976</v>
      </c>
      <c r="S39" s="66">
        <f>SUMIFS(Vendas!F:F,Vendas!E:E,7,Vendas!R:R,Clientes!C39)</f>
        <v>200</v>
      </c>
      <c r="T39" s="66">
        <f>SUMIFS(Vendas!F:F,Vendas!E:E,8,Vendas!R:R,Clientes!C39)</f>
        <v>0</v>
      </c>
      <c r="U39" s="66">
        <f>SUMIFS(Vendas!F:F,Vendas!E:E,9,Vendas!R:R,Clientes!C39)</f>
        <v>0</v>
      </c>
      <c r="V39" s="66">
        <f>SUMIFS(Vendas!F:F,Vendas!E:E,10,Vendas!R:R,Clientes!C39)</f>
        <v>0</v>
      </c>
      <c r="W39" s="66">
        <f>SUMIFS(Vendas!F:F,Vendas!E:E,11,Vendas!R:R,Clientes!C39)</f>
        <v>105</v>
      </c>
      <c r="X39" s="66">
        <f>SUMIFS(Vendas!F:F,Vendas!E:E,12,Vendas!R:R,Clientes!C39)</f>
        <v>0</v>
      </c>
    </row>
    <row r="40" spans="3:24" ht="21.9" customHeight="1" x14ac:dyDescent="0.3">
      <c r="C40" s="24" t="s">
        <v>59</v>
      </c>
      <c r="D40" s="24" t="s">
        <v>31</v>
      </c>
      <c r="E40" s="24" t="s">
        <v>355</v>
      </c>
      <c r="F40" s="25" t="s">
        <v>144</v>
      </c>
      <c r="G40" s="25" t="s">
        <v>327</v>
      </c>
      <c r="H40" s="24" t="s">
        <v>114</v>
      </c>
      <c r="I40" s="26" t="s">
        <v>306</v>
      </c>
      <c r="J40" s="25" t="s">
        <v>146</v>
      </c>
      <c r="K40" s="65">
        <f>COUNTIF(Vendas!R:R,Clientes!C40)</f>
        <v>12</v>
      </c>
      <c r="L40" s="66">
        <f>SUMIF(Vendas!R:R,Clientes!C40,Vendas!F:F)</f>
        <v>6838</v>
      </c>
      <c r="M40" s="66">
        <f>SUMIFS(Vendas!F:F,Vendas!E:E,1,Vendas!R:R,Clientes!C40)</f>
        <v>0</v>
      </c>
      <c r="N40" s="66">
        <f>SUMIFS(Vendas!F:F,Vendas!E:E,2,Vendas!R:R,Clientes!C40)</f>
        <v>60</v>
      </c>
      <c r="O40" s="66">
        <f>SUMIFS(Vendas!F:F,Vendas!E:E,3,Vendas!R:R,Clientes!C40)</f>
        <v>800</v>
      </c>
      <c r="P40" s="66">
        <f>SUMIFS(Vendas!F:F,Vendas!E:E,4,Vendas!R:R,Clientes!C40)</f>
        <v>0</v>
      </c>
      <c r="Q40" s="66">
        <f>SUMIFS(Vendas!F:F,Vendas!E:E,5,Vendas!R:R,Clientes!C40)</f>
        <v>1890</v>
      </c>
      <c r="R40" s="66">
        <f>SUMIFS(Vendas!F:F,Vendas!E:E,6,Vendas!R:R,Clientes!C40)</f>
        <v>1550</v>
      </c>
      <c r="S40" s="66">
        <f>SUMIFS(Vendas!F:F,Vendas!E:E,7,Vendas!R:R,Clientes!C40)</f>
        <v>1028</v>
      </c>
      <c r="T40" s="66">
        <f>SUMIFS(Vendas!F:F,Vendas!E:E,8,Vendas!R:R,Clientes!C40)</f>
        <v>0</v>
      </c>
      <c r="U40" s="66">
        <f>SUMIFS(Vendas!F:F,Vendas!E:E,9,Vendas!R:R,Clientes!C40)</f>
        <v>0</v>
      </c>
      <c r="V40" s="66">
        <f>SUMIFS(Vendas!F:F,Vendas!E:E,10,Vendas!R:R,Clientes!C40)</f>
        <v>200</v>
      </c>
      <c r="W40" s="66">
        <f>SUMIFS(Vendas!F:F,Vendas!E:E,11,Vendas!R:R,Clientes!C40)</f>
        <v>1310</v>
      </c>
      <c r="X40" s="66">
        <f>SUMIFS(Vendas!F:F,Vendas!E:E,12,Vendas!R:R,Clientes!C40)</f>
        <v>0</v>
      </c>
    </row>
    <row r="41" spans="3:24" ht="21.9" customHeight="1" x14ac:dyDescent="0.3">
      <c r="C41" s="24" t="s">
        <v>60</v>
      </c>
      <c r="D41" s="24" t="s">
        <v>32</v>
      </c>
      <c r="E41" s="24" t="s">
        <v>356</v>
      </c>
      <c r="F41" s="25" t="s">
        <v>147</v>
      </c>
      <c r="G41" s="25" t="s">
        <v>48</v>
      </c>
      <c r="H41" s="24" t="s">
        <v>113</v>
      </c>
      <c r="I41" s="26" t="s">
        <v>307</v>
      </c>
      <c r="J41" s="25" t="s">
        <v>149</v>
      </c>
      <c r="K41" s="65">
        <f>COUNTIF(Vendas!R:R,Clientes!C41)</f>
        <v>6</v>
      </c>
      <c r="L41" s="66">
        <f>SUMIF(Vendas!R:R,Clientes!C41,Vendas!F:F)</f>
        <v>2862</v>
      </c>
      <c r="M41" s="66">
        <f>SUMIFS(Vendas!F:F,Vendas!E:E,1,Vendas!R:R,Clientes!C41)</f>
        <v>0</v>
      </c>
      <c r="N41" s="66">
        <f>SUMIFS(Vendas!F:F,Vendas!E:E,2,Vendas!R:R,Clientes!C41)</f>
        <v>0</v>
      </c>
      <c r="O41" s="66">
        <f>SUMIFS(Vendas!F:F,Vendas!E:E,3,Vendas!R:R,Clientes!C41)</f>
        <v>0</v>
      </c>
      <c r="P41" s="66">
        <f>SUMIFS(Vendas!F:F,Vendas!E:E,4,Vendas!R:R,Clientes!C41)</f>
        <v>0</v>
      </c>
      <c r="Q41" s="66">
        <f>SUMIFS(Vendas!F:F,Vendas!E:E,5,Vendas!R:R,Clientes!C41)</f>
        <v>1200</v>
      </c>
      <c r="R41" s="66">
        <f>SUMIFS(Vendas!F:F,Vendas!E:E,6,Vendas!R:R,Clientes!C41)</f>
        <v>540</v>
      </c>
      <c r="S41" s="66">
        <f>SUMIFS(Vendas!F:F,Vendas!E:E,7,Vendas!R:R,Clientes!C41)</f>
        <v>0</v>
      </c>
      <c r="T41" s="66">
        <f>SUMIFS(Vendas!F:F,Vendas!E:E,8,Vendas!R:R,Clientes!C41)</f>
        <v>200</v>
      </c>
      <c r="U41" s="66">
        <f>SUMIFS(Vendas!F:F,Vendas!E:E,9,Vendas!R:R,Clientes!C41)</f>
        <v>152</v>
      </c>
      <c r="V41" s="66">
        <f>SUMIFS(Vendas!F:F,Vendas!E:E,10,Vendas!R:R,Clientes!C41)</f>
        <v>700</v>
      </c>
      <c r="W41" s="66">
        <f>SUMIFS(Vendas!F:F,Vendas!E:E,11,Vendas!R:R,Clientes!C41)</f>
        <v>0</v>
      </c>
      <c r="X41" s="66">
        <f>SUMIFS(Vendas!F:F,Vendas!E:E,12,Vendas!R:R,Clientes!C41)</f>
        <v>70</v>
      </c>
    </row>
    <row r="42" spans="3:24" ht="21.9" customHeight="1" x14ac:dyDescent="0.3">
      <c r="C42" s="24" t="s">
        <v>61</v>
      </c>
      <c r="D42" s="24" t="s">
        <v>33</v>
      </c>
      <c r="E42" s="24" t="s">
        <v>357</v>
      </c>
      <c r="F42" s="25" t="s">
        <v>150</v>
      </c>
      <c r="G42" s="25" t="s">
        <v>47</v>
      </c>
      <c r="H42" s="24" t="s">
        <v>113</v>
      </c>
      <c r="I42" s="26" t="s">
        <v>308</v>
      </c>
      <c r="J42" s="25" t="s">
        <v>152</v>
      </c>
      <c r="K42" s="65">
        <f>COUNTIF(Vendas!R:R,Clientes!C42)</f>
        <v>12</v>
      </c>
      <c r="L42" s="66">
        <f>SUMIF(Vendas!R:R,Clientes!C42,Vendas!F:F)</f>
        <v>8860</v>
      </c>
      <c r="M42" s="66">
        <f>SUMIFS(Vendas!F:F,Vendas!E:E,1,Vendas!R:R,Clientes!C42)</f>
        <v>2280</v>
      </c>
      <c r="N42" s="66">
        <f>SUMIFS(Vendas!F:F,Vendas!E:E,2,Vendas!R:R,Clientes!C42)</f>
        <v>600</v>
      </c>
      <c r="O42" s="66">
        <f>SUMIFS(Vendas!F:F,Vendas!E:E,3,Vendas!R:R,Clientes!C42)</f>
        <v>0</v>
      </c>
      <c r="P42" s="66">
        <f>SUMIFS(Vendas!F:F,Vendas!E:E,4,Vendas!R:R,Clientes!C42)</f>
        <v>790</v>
      </c>
      <c r="Q42" s="66">
        <f>SUMIFS(Vendas!F:F,Vendas!E:E,5,Vendas!R:R,Clientes!C42)</f>
        <v>0</v>
      </c>
      <c r="R42" s="66">
        <f>SUMIFS(Vendas!F:F,Vendas!E:E,6,Vendas!R:R,Clientes!C42)</f>
        <v>0</v>
      </c>
      <c r="S42" s="66">
        <f>SUMIFS(Vendas!F:F,Vendas!E:E,7,Vendas!R:R,Clientes!C42)</f>
        <v>0</v>
      </c>
      <c r="T42" s="66">
        <f>SUMIFS(Vendas!F:F,Vendas!E:E,8,Vendas!R:R,Clientes!C42)</f>
        <v>1500</v>
      </c>
      <c r="U42" s="66">
        <f>SUMIFS(Vendas!F:F,Vendas!E:E,9,Vendas!R:R,Clientes!C42)</f>
        <v>120</v>
      </c>
      <c r="V42" s="66">
        <f>SUMIFS(Vendas!F:F,Vendas!E:E,10,Vendas!R:R,Clientes!C42)</f>
        <v>2970</v>
      </c>
      <c r="W42" s="66">
        <f>SUMIFS(Vendas!F:F,Vendas!E:E,11,Vendas!R:R,Clientes!C42)</f>
        <v>0</v>
      </c>
      <c r="X42" s="66">
        <f>SUMIFS(Vendas!F:F,Vendas!E:E,12,Vendas!R:R,Clientes!C42)</f>
        <v>600</v>
      </c>
    </row>
    <row r="43" spans="3:24" ht="21.9" customHeight="1" x14ac:dyDescent="0.3">
      <c r="C43" s="24" t="s">
        <v>62</v>
      </c>
      <c r="D43" s="24" t="s">
        <v>34</v>
      </c>
      <c r="E43" s="24" t="s">
        <v>358</v>
      </c>
      <c r="F43" s="25" t="s">
        <v>153</v>
      </c>
      <c r="G43" s="25" t="s">
        <v>47</v>
      </c>
      <c r="H43" s="24" t="s">
        <v>115</v>
      </c>
      <c r="I43" s="26" t="s">
        <v>309</v>
      </c>
      <c r="J43" s="25" t="s">
        <v>155</v>
      </c>
      <c r="K43" s="65">
        <f>COUNTIF(Vendas!R:R,Clientes!C43)</f>
        <v>14</v>
      </c>
      <c r="L43" s="66">
        <f>SUMIF(Vendas!R:R,Clientes!C43,Vendas!F:F)</f>
        <v>3387</v>
      </c>
      <c r="M43" s="66">
        <f>SUMIFS(Vendas!F:F,Vendas!E:E,1,Vendas!R:R,Clientes!C43)</f>
        <v>540</v>
      </c>
      <c r="N43" s="66">
        <f>SUMIFS(Vendas!F:F,Vendas!E:E,2,Vendas!R:R,Clientes!C43)</f>
        <v>0</v>
      </c>
      <c r="O43" s="66">
        <f>SUMIFS(Vendas!F:F,Vendas!E:E,3,Vendas!R:R,Clientes!C43)</f>
        <v>0</v>
      </c>
      <c r="P43" s="66">
        <f>SUMIFS(Vendas!F:F,Vendas!E:E,4,Vendas!R:R,Clientes!C43)</f>
        <v>0</v>
      </c>
      <c r="Q43" s="66">
        <f>SUMIFS(Vendas!F:F,Vendas!E:E,5,Vendas!R:R,Clientes!C43)</f>
        <v>140</v>
      </c>
      <c r="R43" s="66">
        <f>SUMIFS(Vendas!F:F,Vendas!E:E,6,Vendas!R:R,Clientes!C43)</f>
        <v>100</v>
      </c>
      <c r="S43" s="66">
        <f>SUMIFS(Vendas!F:F,Vendas!E:E,7,Vendas!R:R,Clientes!C43)</f>
        <v>0</v>
      </c>
      <c r="T43" s="66">
        <f>SUMIFS(Vendas!F:F,Vendas!E:E,8,Vendas!R:R,Clientes!C43)</f>
        <v>105</v>
      </c>
      <c r="U43" s="66">
        <f>SUMIFS(Vendas!F:F,Vendas!E:E,9,Vendas!R:R,Clientes!C43)</f>
        <v>130</v>
      </c>
      <c r="V43" s="66">
        <f>SUMIFS(Vendas!F:F,Vendas!E:E,10,Vendas!R:R,Clientes!C43)</f>
        <v>1340</v>
      </c>
      <c r="W43" s="66">
        <f>SUMIFS(Vendas!F:F,Vendas!E:E,11,Vendas!R:R,Clientes!C43)</f>
        <v>0</v>
      </c>
      <c r="X43" s="66">
        <f>SUMIFS(Vendas!F:F,Vendas!E:E,12,Vendas!R:R,Clientes!C43)</f>
        <v>1032</v>
      </c>
    </row>
    <row r="44" spans="3:24" ht="21.9" customHeight="1" x14ac:dyDescent="0.3">
      <c r="C44" s="24" t="s">
        <v>63</v>
      </c>
      <c r="D44" s="24" t="s">
        <v>35</v>
      </c>
      <c r="E44" s="24" t="s">
        <v>359</v>
      </c>
      <c r="F44" s="25" t="s">
        <v>156</v>
      </c>
      <c r="G44" s="25" t="s">
        <v>45</v>
      </c>
      <c r="H44" s="24" t="s">
        <v>113</v>
      </c>
      <c r="I44" s="26" t="s">
        <v>124</v>
      </c>
      <c r="J44" s="25" t="s">
        <v>158</v>
      </c>
      <c r="K44" s="65">
        <f>COUNTIF(Vendas!R:R,Clientes!C44)</f>
        <v>7</v>
      </c>
      <c r="L44" s="66">
        <f>SUMIF(Vendas!R:R,Clientes!C44,Vendas!F:F)</f>
        <v>1702</v>
      </c>
      <c r="M44" s="66">
        <f>SUMIFS(Vendas!F:F,Vendas!E:E,1,Vendas!R:R,Clientes!C44)</f>
        <v>120</v>
      </c>
      <c r="N44" s="66">
        <f>SUMIFS(Vendas!F:F,Vendas!E:E,2,Vendas!R:R,Clientes!C44)</f>
        <v>0</v>
      </c>
      <c r="O44" s="66">
        <f>SUMIFS(Vendas!F:F,Vendas!E:E,3,Vendas!R:R,Clientes!C44)</f>
        <v>76</v>
      </c>
      <c r="P44" s="66">
        <f>SUMIFS(Vendas!F:F,Vendas!E:E,4,Vendas!R:R,Clientes!C44)</f>
        <v>0</v>
      </c>
      <c r="Q44" s="66">
        <f>SUMIFS(Vendas!F:F,Vendas!E:E,5,Vendas!R:R,Clientes!C44)</f>
        <v>876</v>
      </c>
      <c r="R44" s="66">
        <f>SUMIFS(Vendas!F:F,Vendas!E:E,6,Vendas!R:R,Clientes!C44)</f>
        <v>0</v>
      </c>
      <c r="S44" s="66">
        <f>SUMIFS(Vendas!F:F,Vendas!E:E,7,Vendas!R:R,Clientes!C44)</f>
        <v>0</v>
      </c>
      <c r="T44" s="66">
        <f>SUMIFS(Vendas!F:F,Vendas!E:E,8,Vendas!R:R,Clientes!C44)</f>
        <v>70</v>
      </c>
      <c r="U44" s="66">
        <f>SUMIFS(Vendas!F:F,Vendas!E:E,9,Vendas!R:R,Clientes!C44)</f>
        <v>500</v>
      </c>
      <c r="V44" s="66">
        <f>SUMIFS(Vendas!F:F,Vendas!E:E,10,Vendas!R:R,Clientes!C44)</f>
        <v>0</v>
      </c>
      <c r="W44" s="66">
        <f>SUMIFS(Vendas!F:F,Vendas!E:E,11,Vendas!R:R,Clientes!C44)</f>
        <v>0</v>
      </c>
      <c r="X44" s="66">
        <f>SUMIFS(Vendas!F:F,Vendas!E:E,12,Vendas!R:R,Clientes!C44)</f>
        <v>60</v>
      </c>
    </row>
    <row r="45" spans="3:24" ht="21.9" customHeight="1" x14ac:dyDescent="0.3">
      <c r="C45" s="24" t="s">
        <v>64</v>
      </c>
      <c r="D45" s="24" t="s">
        <v>36</v>
      </c>
      <c r="E45" s="24" t="s">
        <v>360</v>
      </c>
      <c r="F45" s="25" t="s">
        <v>159</v>
      </c>
      <c r="G45" s="25" t="s">
        <v>327</v>
      </c>
      <c r="H45" s="24" t="s">
        <v>114</v>
      </c>
      <c r="I45" s="26" t="s">
        <v>127</v>
      </c>
      <c r="J45" s="25" t="s">
        <v>161</v>
      </c>
      <c r="K45" s="65">
        <f>COUNTIF(Vendas!R:R,Clientes!C45)</f>
        <v>7</v>
      </c>
      <c r="L45" s="66">
        <f>SUMIF(Vendas!R:R,Clientes!C45,Vendas!F:F)</f>
        <v>3550</v>
      </c>
      <c r="M45" s="66">
        <f>SUMIFS(Vendas!F:F,Vendas!E:E,1,Vendas!R:R,Clientes!C45)</f>
        <v>0</v>
      </c>
      <c r="N45" s="66">
        <f>SUMIFS(Vendas!F:F,Vendas!E:E,2,Vendas!R:R,Clientes!C45)</f>
        <v>400</v>
      </c>
      <c r="O45" s="66">
        <f>SUMIFS(Vendas!F:F,Vendas!E:E,3,Vendas!R:R,Clientes!C45)</f>
        <v>170</v>
      </c>
      <c r="P45" s="66">
        <f>SUMIFS(Vendas!F:F,Vendas!E:E,4,Vendas!R:R,Clientes!C45)</f>
        <v>0</v>
      </c>
      <c r="Q45" s="66">
        <f>SUMIFS(Vendas!F:F,Vendas!E:E,5,Vendas!R:R,Clientes!C45)</f>
        <v>0</v>
      </c>
      <c r="R45" s="66">
        <f>SUMIFS(Vendas!F:F,Vendas!E:E,6,Vendas!R:R,Clientes!C45)</f>
        <v>0</v>
      </c>
      <c r="S45" s="66">
        <f>SUMIFS(Vendas!F:F,Vendas!E:E,7,Vendas!R:R,Clientes!C45)</f>
        <v>1600</v>
      </c>
      <c r="T45" s="66">
        <f>SUMIFS(Vendas!F:F,Vendas!E:E,8,Vendas!R:R,Clientes!C45)</f>
        <v>0</v>
      </c>
      <c r="U45" s="66">
        <f>SUMIFS(Vendas!F:F,Vendas!E:E,9,Vendas!R:R,Clientes!C45)</f>
        <v>1050</v>
      </c>
      <c r="V45" s="66">
        <f>SUMIFS(Vendas!F:F,Vendas!E:E,10,Vendas!R:R,Clientes!C45)</f>
        <v>0</v>
      </c>
      <c r="W45" s="66">
        <f>SUMIFS(Vendas!F:F,Vendas!E:E,11,Vendas!R:R,Clientes!C45)</f>
        <v>210</v>
      </c>
      <c r="X45" s="66">
        <f>SUMIFS(Vendas!F:F,Vendas!E:E,12,Vendas!R:R,Clientes!C45)</f>
        <v>120</v>
      </c>
    </row>
    <row r="46" spans="3:24" ht="21.9" customHeight="1" x14ac:dyDescent="0.3">
      <c r="C46" s="24" t="s">
        <v>65</v>
      </c>
      <c r="D46" s="24" t="s">
        <v>37</v>
      </c>
      <c r="E46" s="24" t="s">
        <v>361</v>
      </c>
      <c r="F46" s="25" t="s">
        <v>162</v>
      </c>
      <c r="G46" s="25" t="s">
        <v>48</v>
      </c>
      <c r="H46" s="24" t="s">
        <v>113</v>
      </c>
      <c r="I46" s="26" t="s">
        <v>130</v>
      </c>
      <c r="J46" s="25" t="s">
        <v>164</v>
      </c>
      <c r="K46" s="65">
        <f>COUNTIF(Vendas!R:R,Clientes!C46)</f>
        <v>20</v>
      </c>
      <c r="L46" s="66">
        <f>SUMIF(Vendas!R:R,Clientes!C46,Vendas!F:F)</f>
        <v>14098</v>
      </c>
      <c r="M46" s="66">
        <f>SUMIFS(Vendas!F:F,Vendas!E:E,1,Vendas!R:R,Clientes!C46)</f>
        <v>100</v>
      </c>
      <c r="N46" s="66">
        <f>SUMIFS(Vendas!F:F,Vendas!E:E,2,Vendas!R:R,Clientes!C46)</f>
        <v>5760</v>
      </c>
      <c r="O46" s="66">
        <f>SUMIFS(Vendas!F:F,Vendas!E:E,3,Vendas!R:R,Clientes!C46)</f>
        <v>0</v>
      </c>
      <c r="P46" s="66">
        <f>SUMIFS(Vendas!F:F,Vendas!E:E,4,Vendas!R:R,Clientes!C46)</f>
        <v>0</v>
      </c>
      <c r="Q46" s="66">
        <f>SUMIFS(Vendas!F:F,Vendas!E:E,5,Vendas!R:R,Clientes!C46)</f>
        <v>340</v>
      </c>
      <c r="R46" s="66">
        <f>SUMIFS(Vendas!F:F,Vendas!E:E,6,Vendas!R:R,Clientes!C46)</f>
        <v>920</v>
      </c>
      <c r="S46" s="66">
        <f>SUMIFS(Vendas!F:F,Vendas!E:E,7,Vendas!R:R,Clientes!C46)</f>
        <v>0</v>
      </c>
      <c r="T46" s="66">
        <f>SUMIFS(Vendas!F:F,Vendas!E:E,8,Vendas!R:R,Clientes!C46)</f>
        <v>1660</v>
      </c>
      <c r="U46" s="66">
        <f>SUMIFS(Vendas!F:F,Vendas!E:E,9,Vendas!R:R,Clientes!C46)</f>
        <v>0</v>
      </c>
      <c r="V46" s="66">
        <f>SUMIFS(Vendas!F:F,Vendas!E:E,10,Vendas!R:R,Clientes!C46)</f>
        <v>818</v>
      </c>
      <c r="W46" s="66">
        <f>SUMIFS(Vendas!F:F,Vendas!E:E,11,Vendas!R:R,Clientes!C46)</f>
        <v>2100</v>
      </c>
      <c r="X46" s="66">
        <f>SUMIFS(Vendas!F:F,Vendas!E:E,12,Vendas!R:R,Clientes!C46)</f>
        <v>2400</v>
      </c>
    </row>
    <row r="47" spans="3:24" ht="21.9" customHeight="1" x14ac:dyDescent="0.3">
      <c r="C47" s="24" t="s">
        <v>66</v>
      </c>
      <c r="D47" s="24" t="s">
        <v>38</v>
      </c>
      <c r="E47" s="24" t="s">
        <v>362</v>
      </c>
      <c r="F47" s="25" t="s">
        <v>165</v>
      </c>
      <c r="G47" s="25" t="s">
        <v>46</v>
      </c>
      <c r="H47" s="24" t="s">
        <v>115</v>
      </c>
      <c r="I47" s="26" t="s">
        <v>133</v>
      </c>
      <c r="J47" s="25" t="s">
        <v>167</v>
      </c>
      <c r="K47" s="65">
        <f>COUNTIF(Vendas!R:R,Clientes!C47)</f>
        <v>12</v>
      </c>
      <c r="L47" s="66">
        <f>SUMIF(Vendas!R:R,Clientes!C47,Vendas!F:F)</f>
        <v>10490</v>
      </c>
      <c r="M47" s="66">
        <f>SUMIFS(Vendas!F:F,Vendas!E:E,1,Vendas!R:R,Clientes!C47)</f>
        <v>0</v>
      </c>
      <c r="N47" s="66">
        <f>SUMIFS(Vendas!F:F,Vendas!E:E,2,Vendas!R:R,Clientes!C47)</f>
        <v>0</v>
      </c>
      <c r="O47" s="66">
        <f>SUMIFS(Vendas!F:F,Vendas!E:E,3,Vendas!R:R,Clientes!C47)</f>
        <v>0</v>
      </c>
      <c r="P47" s="66">
        <f>SUMIFS(Vendas!F:F,Vendas!E:E,4,Vendas!R:R,Clientes!C47)</f>
        <v>1380</v>
      </c>
      <c r="Q47" s="66">
        <f>SUMIFS(Vendas!F:F,Vendas!E:E,5,Vendas!R:R,Clientes!C47)</f>
        <v>400</v>
      </c>
      <c r="R47" s="66">
        <f>SUMIFS(Vendas!F:F,Vendas!E:E,6,Vendas!R:R,Clientes!C47)</f>
        <v>480</v>
      </c>
      <c r="S47" s="66">
        <f>SUMIFS(Vendas!F:F,Vendas!E:E,7,Vendas!R:R,Clientes!C47)</f>
        <v>0</v>
      </c>
      <c r="T47" s="66">
        <f>SUMIFS(Vendas!F:F,Vendas!E:E,8,Vendas!R:R,Clientes!C47)</f>
        <v>0</v>
      </c>
      <c r="U47" s="66">
        <f>SUMIFS(Vendas!F:F,Vendas!E:E,9,Vendas!R:R,Clientes!C47)</f>
        <v>0</v>
      </c>
      <c r="V47" s="66">
        <f>SUMIFS(Vendas!F:F,Vendas!E:E,10,Vendas!R:R,Clientes!C47)</f>
        <v>4610</v>
      </c>
      <c r="W47" s="66">
        <f>SUMIFS(Vendas!F:F,Vendas!E:E,11,Vendas!R:R,Clientes!C47)</f>
        <v>0</v>
      </c>
      <c r="X47" s="66">
        <f>SUMIFS(Vendas!F:F,Vendas!E:E,12,Vendas!R:R,Clientes!C47)</f>
        <v>3620</v>
      </c>
    </row>
    <row r="48" spans="3:24" ht="21.9" customHeight="1" x14ac:dyDescent="0.3">
      <c r="C48" s="24" t="s">
        <v>67</v>
      </c>
      <c r="D48" s="24" t="s">
        <v>39</v>
      </c>
      <c r="E48" s="24" t="s">
        <v>363</v>
      </c>
      <c r="F48" s="25" t="s">
        <v>168</v>
      </c>
      <c r="G48" s="25" t="s">
        <v>45</v>
      </c>
      <c r="H48" s="24" t="s">
        <v>116</v>
      </c>
      <c r="I48" s="26" t="s">
        <v>136</v>
      </c>
      <c r="J48" s="25" t="s">
        <v>170</v>
      </c>
      <c r="K48" s="65">
        <f>COUNTIF(Vendas!R:R,Clientes!C48)</f>
        <v>7</v>
      </c>
      <c r="L48" s="66">
        <f>SUMIF(Vendas!R:R,Clientes!C48,Vendas!F:F)</f>
        <v>4102</v>
      </c>
      <c r="M48" s="66">
        <f>SUMIFS(Vendas!F:F,Vendas!E:E,1,Vendas!R:R,Clientes!C48)</f>
        <v>980</v>
      </c>
      <c r="N48" s="66">
        <f>SUMIFS(Vendas!F:F,Vendas!E:E,2,Vendas!R:R,Clientes!C48)</f>
        <v>0</v>
      </c>
      <c r="O48" s="66">
        <f>SUMIFS(Vendas!F:F,Vendas!E:E,3,Vendas!R:R,Clientes!C48)</f>
        <v>0</v>
      </c>
      <c r="P48" s="66">
        <f>SUMIFS(Vendas!F:F,Vendas!E:E,4,Vendas!R:R,Clientes!C48)</f>
        <v>160</v>
      </c>
      <c r="Q48" s="66">
        <f>SUMIFS(Vendas!F:F,Vendas!E:E,5,Vendas!R:R,Clientes!C48)</f>
        <v>0</v>
      </c>
      <c r="R48" s="66">
        <f>SUMIFS(Vendas!F:F,Vendas!E:E,6,Vendas!R:R,Clientes!C48)</f>
        <v>1200</v>
      </c>
      <c r="S48" s="66">
        <f>SUMIFS(Vendas!F:F,Vendas!E:E,7,Vendas!R:R,Clientes!C48)</f>
        <v>800</v>
      </c>
      <c r="T48" s="66">
        <f>SUMIFS(Vendas!F:F,Vendas!E:E,8,Vendas!R:R,Clientes!C48)</f>
        <v>152</v>
      </c>
      <c r="U48" s="66">
        <f>SUMIFS(Vendas!F:F,Vendas!E:E,9,Vendas!R:R,Clientes!C48)</f>
        <v>0</v>
      </c>
      <c r="V48" s="66">
        <f>SUMIFS(Vendas!F:F,Vendas!E:E,10,Vendas!R:R,Clientes!C48)</f>
        <v>810</v>
      </c>
      <c r="W48" s="66">
        <f>SUMIFS(Vendas!F:F,Vendas!E:E,11,Vendas!R:R,Clientes!C48)</f>
        <v>0</v>
      </c>
      <c r="X48" s="66">
        <f>SUMIFS(Vendas!F:F,Vendas!E:E,12,Vendas!R:R,Clientes!C48)</f>
        <v>0</v>
      </c>
    </row>
    <row r="49" spans="3:24" ht="21.9" customHeight="1" x14ac:dyDescent="0.3">
      <c r="C49" s="24" t="s">
        <v>68</v>
      </c>
      <c r="D49" s="24" t="s">
        <v>40</v>
      </c>
      <c r="E49" s="24" t="s">
        <v>364</v>
      </c>
      <c r="F49" s="25" t="s">
        <v>171</v>
      </c>
      <c r="G49" s="25" t="s">
        <v>46</v>
      </c>
      <c r="H49" s="24" t="s">
        <v>115</v>
      </c>
      <c r="I49" s="26" t="s">
        <v>139</v>
      </c>
      <c r="J49" s="25" t="s">
        <v>173</v>
      </c>
      <c r="K49" s="65">
        <f>COUNTIF(Vendas!R:R,Clientes!C49)</f>
        <v>9</v>
      </c>
      <c r="L49" s="66">
        <f>SUMIF(Vendas!R:R,Clientes!C49,Vendas!F:F)</f>
        <v>10965</v>
      </c>
      <c r="M49" s="66">
        <f>SUMIFS(Vendas!F:F,Vendas!E:E,1,Vendas!R:R,Clientes!C49)</f>
        <v>5600</v>
      </c>
      <c r="N49" s="66">
        <f>SUMIFS(Vendas!F:F,Vendas!E:E,2,Vendas!R:R,Clientes!C49)</f>
        <v>1635</v>
      </c>
      <c r="O49" s="66">
        <f>SUMIFS(Vendas!F:F,Vendas!E:E,3,Vendas!R:R,Clientes!C49)</f>
        <v>40</v>
      </c>
      <c r="P49" s="66">
        <f>SUMIFS(Vendas!F:F,Vendas!E:E,4,Vendas!R:R,Clientes!C49)</f>
        <v>0</v>
      </c>
      <c r="Q49" s="66">
        <f>SUMIFS(Vendas!F:F,Vendas!E:E,5,Vendas!R:R,Clientes!C49)</f>
        <v>160</v>
      </c>
      <c r="R49" s="66">
        <f>SUMIFS(Vendas!F:F,Vendas!E:E,6,Vendas!R:R,Clientes!C49)</f>
        <v>0</v>
      </c>
      <c r="S49" s="66">
        <f>SUMIFS(Vendas!F:F,Vendas!E:E,7,Vendas!R:R,Clientes!C49)</f>
        <v>0</v>
      </c>
      <c r="T49" s="66">
        <f>SUMIFS(Vendas!F:F,Vendas!E:E,8,Vendas!R:R,Clientes!C49)</f>
        <v>90</v>
      </c>
      <c r="U49" s="66">
        <f>SUMIFS(Vendas!F:F,Vendas!E:E,9,Vendas!R:R,Clientes!C49)</f>
        <v>180</v>
      </c>
      <c r="V49" s="66">
        <f>SUMIFS(Vendas!F:F,Vendas!E:E,10,Vendas!R:R,Clientes!C49)</f>
        <v>60</v>
      </c>
      <c r="W49" s="66">
        <f>SUMIFS(Vendas!F:F,Vendas!E:E,11,Vendas!R:R,Clientes!C49)</f>
        <v>3200</v>
      </c>
      <c r="X49" s="66">
        <f>SUMIFS(Vendas!F:F,Vendas!E:E,12,Vendas!R:R,Clientes!C49)</f>
        <v>0</v>
      </c>
    </row>
    <row r="50" spans="3:24" ht="21.9" customHeight="1" x14ac:dyDescent="0.3">
      <c r="C50" s="24" t="s">
        <v>69</v>
      </c>
      <c r="D50" s="24" t="s">
        <v>41</v>
      </c>
      <c r="E50" s="24" t="s">
        <v>365</v>
      </c>
      <c r="F50" s="25" t="s">
        <v>174</v>
      </c>
      <c r="G50" s="25" t="s">
        <v>44</v>
      </c>
      <c r="H50" s="24" t="s">
        <v>113</v>
      </c>
      <c r="I50" s="26" t="s">
        <v>142</v>
      </c>
      <c r="J50" s="25" t="s">
        <v>176</v>
      </c>
      <c r="K50" s="65">
        <f>COUNTIF(Vendas!R:R,Clientes!C50)</f>
        <v>7</v>
      </c>
      <c r="L50" s="66">
        <f>SUMIF(Vendas!R:R,Clientes!C50,Vendas!F:F)</f>
        <v>4932</v>
      </c>
      <c r="M50" s="66">
        <f>SUMIFS(Vendas!F:F,Vendas!E:E,1,Vendas!R:R,Clientes!C50)</f>
        <v>0</v>
      </c>
      <c r="N50" s="66">
        <f>SUMIFS(Vendas!F:F,Vendas!E:E,2,Vendas!R:R,Clientes!C50)</f>
        <v>0</v>
      </c>
      <c r="O50" s="66">
        <f>SUMIFS(Vendas!F:F,Vendas!E:E,3,Vendas!R:R,Clientes!C50)</f>
        <v>0</v>
      </c>
      <c r="P50" s="66">
        <f>SUMIFS(Vendas!F:F,Vendas!E:E,4,Vendas!R:R,Clientes!C50)</f>
        <v>0</v>
      </c>
      <c r="Q50" s="66">
        <f>SUMIFS(Vendas!F:F,Vendas!E:E,5,Vendas!R:R,Clientes!C50)</f>
        <v>0</v>
      </c>
      <c r="R50" s="66">
        <f>SUMIFS(Vendas!F:F,Vendas!E:E,6,Vendas!R:R,Clientes!C50)</f>
        <v>540</v>
      </c>
      <c r="S50" s="66">
        <f>SUMIFS(Vendas!F:F,Vendas!E:E,7,Vendas!R:R,Clientes!C50)</f>
        <v>2440</v>
      </c>
      <c r="T50" s="66">
        <f>SUMIFS(Vendas!F:F,Vendas!E:E,8,Vendas!R:R,Clientes!C50)</f>
        <v>0</v>
      </c>
      <c r="U50" s="66">
        <f>SUMIFS(Vendas!F:F,Vendas!E:E,9,Vendas!R:R,Clientes!C50)</f>
        <v>0</v>
      </c>
      <c r="V50" s="66">
        <f>SUMIFS(Vendas!F:F,Vendas!E:E,10,Vendas!R:R,Clientes!C50)</f>
        <v>952</v>
      </c>
      <c r="W50" s="66">
        <f>SUMIFS(Vendas!F:F,Vendas!E:E,11,Vendas!R:R,Clientes!C50)</f>
        <v>1000</v>
      </c>
      <c r="X50" s="66">
        <f>SUMIFS(Vendas!F:F,Vendas!E:E,12,Vendas!R:R,Clientes!C50)</f>
        <v>0</v>
      </c>
    </row>
    <row r="51" spans="3:24" ht="21.9" customHeight="1" x14ac:dyDescent="0.3">
      <c r="C51" s="24" t="s">
        <v>70</v>
      </c>
      <c r="D51" s="24" t="s">
        <v>42</v>
      </c>
      <c r="E51" s="24" t="s">
        <v>366</v>
      </c>
      <c r="F51" s="25" t="s">
        <v>177</v>
      </c>
      <c r="G51" s="25" t="s">
        <v>47</v>
      </c>
      <c r="H51" s="24" t="s">
        <v>114</v>
      </c>
      <c r="I51" s="26" t="s">
        <v>145</v>
      </c>
      <c r="J51" s="25" t="s">
        <v>179</v>
      </c>
      <c r="K51" s="65">
        <f>COUNTIF(Vendas!R:R,Clientes!C51)</f>
        <v>20</v>
      </c>
      <c r="L51" s="66">
        <f>SUMIF(Vendas!R:R,Clientes!C51,Vendas!F:F)</f>
        <v>25118</v>
      </c>
      <c r="M51" s="66">
        <f>SUMIFS(Vendas!F:F,Vendas!E:E,1,Vendas!R:R,Clientes!C51)</f>
        <v>2028</v>
      </c>
      <c r="N51" s="66">
        <f>SUMIFS(Vendas!F:F,Vendas!E:E,2,Vendas!R:R,Clientes!C51)</f>
        <v>0</v>
      </c>
      <c r="O51" s="66">
        <f>SUMIFS(Vendas!F:F,Vendas!E:E,3,Vendas!R:R,Clientes!C51)</f>
        <v>2200</v>
      </c>
      <c r="P51" s="66">
        <f>SUMIFS(Vendas!F:F,Vendas!E:E,4,Vendas!R:R,Clientes!C51)</f>
        <v>1860</v>
      </c>
      <c r="Q51" s="66">
        <f>SUMIFS(Vendas!F:F,Vendas!E:E,5,Vendas!R:R,Clientes!C51)</f>
        <v>2300</v>
      </c>
      <c r="R51" s="66">
        <f>SUMIFS(Vendas!F:F,Vendas!E:E,6,Vendas!R:R,Clientes!C51)</f>
        <v>0</v>
      </c>
      <c r="S51" s="66">
        <f>SUMIFS(Vendas!F:F,Vendas!E:E,7,Vendas!R:R,Clientes!C51)</f>
        <v>1520</v>
      </c>
      <c r="T51" s="66">
        <f>SUMIFS(Vendas!F:F,Vendas!E:E,8,Vendas!R:R,Clientes!C51)</f>
        <v>1070</v>
      </c>
      <c r="U51" s="66">
        <f>SUMIFS(Vendas!F:F,Vendas!E:E,9,Vendas!R:R,Clientes!C51)</f>
        <v>80</v>
      </c>
      <c r="V51" s="66">
        <f>SUMIFS(Vendas!F:F,Vendas!E:E,10,Vendas!R:R,Clientes!C51)</f>
        <v>0</v>
      </c>
      <c r="W51" s="66">
        <f>SUMIFS(Vendas!F:F,Vendas!E:E,11,Vendas!R:R,Clientes!C51)</f>
        <v>11200</v>
      </c>
      <c r="X51" s="66">
        <f>SUMIFS(Vendas!F:F,Vendas!E:E,12,Vendas!R:R,Clientes!C51)</f>
        <v>2860</v>
      </c>
    </row>
    <row r="52" spans="3:24" ht="21.9" customHeight="1" x14ac:dyDescent="0.3">
      <c r="C52" s="24" t="s">
        <v>337</v>
      </c>
      <c r="D52" s="24" t="s">
        <v>43</v>
      </c>
      <c r="E52" s="24" t="s">
        <v>367</v>
      </c>
      <c r="F52" s="25" t="s">
        <v>180</v>
      </c>
      <c r="G52" s="25" t="s">
        <v>49</v>
      </c>
      <c r="H52" s="24" t="s">
        <v>113</v>
      </c>
      <c r="I52" s="26" t="s">
        <v>148</v>
      </c>
      <c r="J52" s="25" t="s">
        <v>182</v>
      </c>
      <c r="K52" s="65">
        <f>COUNTIF(Vendas!R:R,Clientes!C52)</f>
        <v>6</v>
      </c>
      <c r="L52" s="66">
        <f>SUMIF(Vendas!R:R,Clientes!C52,Vendas!F:F)</f>
        <v>2505</v>
      </c>
      <c r="M52" s="66">
        <f>SUMIFS(Vendas!F:F,Vendas!E:E,1,Vendas!R:R,Clientes!C52)</f>
        <v>0</v>
      </c>
      <c r="N52" s="66">
        <f>SUMIFS(Vendas!F:F,Vendas!E:E,2,Vendas!R:R,Clientes!C52)</f>
        <v>230</v>
      </c>
      <c r="O52" s="66">
        <f>SUMIFS(Vendas!F:F,Vendas!E:E,3,Vendas!R:R,Clientes!C52)</f>
        <v>1600</v>
      </c>
      <c r="P52" s="66">
        <f>SUMIFS(Vendas!F:F,Vendas!E:E,4,Vendas!R:R,Clientes!C52)</f>
        <v>0</v>
      </c>
      <c r="Q52" s="66">
        <f>SUMIFS(Vendas!F:F,Vendas!E:E,5,Vendas!R:R,Clientes!C52)</f>
        <v>0</v>
      </c>
      <c r="R52" s="66">
        <f>SUMIFS(Vendas!F:F,Vendas!E:E,6,Vendas!R:R,Clientes!C52)</f>
        <v>105</v>
      </c>
      <c r="S52" s="66">
        <f>SUMIFS(Vendas!F:F,Vendas!E:E,7,Vendas!R:R,Clientes!C52)</f>
        <v>0</v>
      </c>
      <c r="T52" s="66">
        <f>SUMIFS(Vendas!F:F,Vendas!E:E,8,Vendas!R:R,Clientes!C52)</f>
        <v>0</v>
      </c>
      <c r="U52" s="66">
        <f>SUMIFS(Vendas!F:F,Vendas!E:E,9,Vendas!R:R,Clientes!C52)</f>
        <v>500</v>
      </c>
      <c r="V52" s="66">
        <f>SUMIFS(Vendas!F:F,Vendas!E:E,10,Vendas!R:R,Clientes!C52)</f>
        <v>0</v>
      </c>
      <c r="W52" s="66">
        <f>SUMIFS(Vendas!F:F,Vendas!E:E,11,Vendas!R:R,Clientes!C52)</f>
        <v>0</v>
      </c>
      <c r="X52" s="66">
        <f>SUMIFS(Vendas!F:F,Vendas!E:E,12,Vendas!R:R,Clientes!C52)</f>
        <v>70</v>
      </c>
    </row>
    <row r="53" spans="3:24" ht="21.9" customHeight="1" x14ac:dyDescent="0.3">
      <c r="C53" s="24" t="s">
        <v>290</v>
      </c>
      <c r="D53" s="24" t="s">
        <v>296</v>
      </c>
      <c r="E53" s="24" t="s">
        <v>368</v>
      </c>
      <c r="F53" s="25" t="s">
        <v>297</v>
      </c>
      <c r="G53" s="25" t="s">
        <v>45</v>
      </c>
      <c r="H53" s="24" t="s">
        <v>113</v>
      </c>
      <c r="I53" s="26" t="s">
        <v>151</v>
      </c>
      <c r="J53" s="25" t="s">
        <v>310</v>
      </c>
      <c r="K53" s="65">
        <f>COUNTIF(Vendas!R:R,Clientes!C53)</f>
        <v>15</v>
      </c>
      <c r="L53" s="66">
        <f>SUMIF(Vendas!R:R,Clientes!C53,Vendas!F:F)</f>
        <v>7871</v>
      </c>
      <c r="M53" s="66">
        <f>SUMIFS(Vendas!F:F,Vendas!E:E,1,Vendas!R:R,Clientes!C53)</f>
        <v>0</v>
      </c>
      <c r="N53" s="66">
        <f>SUMIFS(Vendas!F:F,Vendas!E:E,2,Vendas!R:R,Clientes!C53)</f>
        <v>420</v>
      </c>
      <c r="O53" s="66">
        <f>SUMIFS(Vendas!F:F,Vendas!E:E,3,Vendas!R:R,Clientes!C53)</f>
        <v>90</v>
      </c>
      <c r="P53" s="66">
        <f>SUMIFS(Vendas!F:F,Vendas!E:E,4,Vendas!R:R,Clientes!C53)</f>
        <v>320</v>
      </c>
      <c r="Q53" s="66">
        <f>SUMIFS(Vendas!F:F,Vendas!E:E,5,Vendas!R:R,Clientes!C53)</f>
        <v>0</v>
      </c>
      <c r="R53" s="66">
        <f>SUMIFS(Vendas!F:F,Vendas!E:E,6,Vendas!R:R,Clientes!C53)</f>
        <v>0</v>
      </c>
      <c r="S53" s="66">
        <f>SUMIFS(Vendas!F:F,Vendas!E:E,7,Vendas!R:R,Clientes!C53)</f>
        <v>0</v>
      </c>
      <c r="T53" s="66">
        <f>SUMIFS(Vendas!F:F,Vendas!E:E,8,Vendas!R:R,Clientes!C53)</f>
        <v>3000</v>
      </c>
      <c r="U53" s="66">
        <f>SUMIFS(Vendas!F:F,Vendas!E:E,9,Vendas!R:R,Clientes!C53)</f>
        <v>900</v>
      </c>
      <c r="V53" s="66">
        <f>SUMIFS(Vendas!F:F,Vendas!E:E,10,Vendas!R:R,Clientes!C53)</f>
        <v>195</v>
      </c>
      <c r="W53" s="66">
        <f>SUMIFS(Vendas!F:F,Vendas!E:E,11,Vendas!R:R,Clientes!C53)</f>
        <v>200</v>
      </c>
      <c r="X53" s="66">
        <f>SUMIFS(Vendas!F:F,Vendas!E:E,12,Vendas!R:R,Clientes!C53)</f>
        <v>2746</v>
      </c>
    </row>
    <row r="54" spans="3:24" ht="21.9" customHeight="1" x14ac:dyDescent="0.3">
      <c r="C54" s="24" t="s">
        <v>338</v>
      </c>
      <c r="D54" s="24" t="s">
        <v>311</v>
      </c>
      <c r="E54" s="24" t="s">
        <v>369</v>
      </c>
      <c r="F54" s="25" t="s">
        <v>312</v>
      </c>
      <c r="G54" s="25" t="s">
        <v>47</v>
      </c>
      <c r="H54" s="24" t="s">
        <v>115</v>
      </c>
      <c r="I54" s="26" t="s">
        <v>154</v>
      </c>
      <c r="J54" s="25" t="s">
        <v>313</v>
      </c>
      <c r="K54" s="65">
        <f>COUNTIF(Vendas!R:R,Clientes!C54)</f>
        <v>9</v>
      </c>
      <c r="L54" s="66">
        <f>SUMIF(Vendas!R:R,Clientes!C54,Vendas!F:F)</f>
        <v>3365</v>
      </c>
      <c r="M54" s="66">
        <f>SUMIFS(Vendas!F:F,Vendas!E:E,1,Vendas!R:R,Clientes!C54)</f>
        <v>0</v>
      </c>
      <c r="N54" s="66">
        <f>SUMIFS(Vendas!F:F,Vendas!E:E,2,Vendas!R:R,Clientes!C54)</f>
        <v>540</v>
      </c>
      <c r="O54" s="66">
        <f>SUMIFS(Vendas!F:F,Vendas!E:E,3,Vendas!R:R,Clientes!C54)</f>
        <v>0</v>
      </c>
      <c r="P54" s="66">
        <f>SUMIFS(Vendas!F:F,Vendas!E:E,4,Vendas!R:R,Clientes!C54)</f>
        <v>0</v>
      </c>
      <c r="Q54" s="66">
        <f>SUMIFS(Vendas!F:F,Vendas!E:E,5,Vendas!R:R,Clientes!C54)</f>
        <v>0</v>
      </c>
      <c r="R54" s="66">
        <f>SUMIFS(Vendas!F:F,Vendas!E:E,6,Vendas!R:R,Clientes!C54)</f>
        <v>90</v>
      </c>
      <c r="S54" s="66">
        <f>SUMIFS(Vendas!F:F,Vendas!E:E,7,Vendas!R:R,Clientes!C54)</f>
        <v>0</v>
      </c>
      <c r="T54" s="66">
        <f>SUMIFS(Vendas!F:F,Vendas!E:E,8,Vendas!R:R,Clientes!C54)</f>
        <v>0</v>
      </c>
      <c r="U54" s="66">
        <f>SUMIFS(Vendas!F:F,Vendas!E:E,9,Vendas!R:R,Clientes!C54)</f>
        <v>0</v>
      </c>
      <c r="V54" s="66">
        <f>SUMIFS(Vendas!F:F,Vendas!E:E,10,Vendas!R:R,Clientes!C54)</f>
        <v>1300</v>
      </c>
      <c r="W54" s="66">
        <f>SUMIFS(Vendas!F:F,Vendas!E:E,11,Vendas!R:R,Clientes!C54)</f>
        <v>300</v>
      </c>
      <c r="X54" s="66">
        <f>SUMIFS(Vendas!F:F,Vendas!E:E,12,Vendas!R:R,Clientes!C54)</f>
        <v>1135</v>
      </c>
    </row>
    <row r="55" spans="3:24" ht="21.9" customHeight="1" x14ac:dyDescent="0.3">
      <c r="C55" s="24" t="s">
        <v>339</v>
      </c>
      <c r="D55" s="24" t="s">
        <v>314</v>
      </c>
      <c r="E55" s="24" t="s">
        <v>370</v>
      </c>
      <c r="F55" s="25" t="s">
        <v>315</v>
      </c>
      <c r="G55" s="25" t="s">
        <v>44</v>
      </c>
      <c r="H55" s="24" t="s">
        <v>113</v>
      </c>
      <c r="I55" s="26" t="s">
        <v>157</v>
      </c>
      <c r="J55" s="25" t="s">
        <v>316</v>
      </c>
      <c r="K55" s="65">
        <f>COUNTIF(Vendas!R:R,Clientes!C55)</f>
        <v>8</v>
      </c>
      <c r="L55" s="66">
        <f>SUMIF(Vendas!R:R,Clientes!C55,Vendas!F:F)</f>
        <v>4670</v>
      </c>
      <c r="M55" s="66">
        <f>SUMIFS(Vendas!F:F,Vendas!E:E,1,Vendas!R:R,Clientes!C55)</f>
        <v>0</v>
      </c>
      <c r="N55" s="66">
        <f>SUMIFS(Vendas!F:F,Vendas!E:E,2,Vendas!R:R,Clientes!C55)</f>
        <v>800</v>
      </c>
      <c r="O55" s="66">
        <f>SUMIFS(Vendas!F:F,Vendas!E:E,3,Vendas!R:R,Clientes!C55)</f>
        <v>0</v>
      </c>
      <c r="P55" s="66">
        <f>SUMIFS(Vendas!F:F,Vendas!E:E,4,Vendas!R:R,Clientes!C55)</f>
        <v>250</v>
      </c>
      <c r="Q55" s="66">
        <f>SUMIFS(Vendas!F:F,Vendas!E:E,5,Vendas!R:R,Clientes!C55)</f>
        <v>700</v>
      </c>
      <c r="R55" s="66">
        <f>SUMIFS(Vendas!F:F,Vendas!E:E,6,Vendas!R:R,Clientes!C55)</f>
        <v>340</v>
      </c>
      <c r="S55" s="66">
        <f>SUMIFS(Vendas!F:F,Vendas!E:E,7,Vendas!R:R,Clientes!C55)</f>
        <v>0</v>
      </c>
      <c r="T55" s="66">
        <f>SUMIFS(Vendas!F:F,Vendas!E:E,8,Vendas!R:R,Clientes!C55)</f>
        <v>0</v>
      </c>
      <c r="U55" s="66">
        <f>SUMIFS(Vendas!F:F,Vendas!E:E,9,Vendas!R:R,Clientes!C55)</f>
        <v>340</v>
      </c>
      <c r="V55" s="66">
        <f>SUMIFS(Vendas!F:F,Vendas!E:E,10,Vendas!R:R,Clientes!C55)</f>
        <v>0</v>
      </c>
      <c r="W55" s="66">
        <f>SUMIFS(Vendas!F:F,Vendas!E:E,11,Vendas!R:R,Clientes!C55)</f>
        <v>600</v>
      </c>
      <c r="X55" s="66">
        <f>SUMIFS(Vendas!F:F,Vendas!E:E,12,Vendas!R:R,Clientes!C55)</f>
        <v>1640</v>
      </c>
    </row>
    <row r="56" spans="3:24" ht="21.9" customHeight="1" x14ac:dyDescent="0.3">
      <c r="C56" s="24" t="s">
        <v>340</v>
      </c>
      <c r="D56" s="24" t="s">
        <v>317</v>
      </c>
      <c r="E56" s="24" t="s">
        <v>371</v>
      </c>
      <c r="F56" s="25" t="s">
        <v>318</v>
      </c>
      <c r="G56" s="25" t="s">
        <v>327</v>
      </c>
      <c r="H56" s="24" t="s">
        <v>114</v>
      </c>
      <c r="I56" s="26" t="s">
        <v>160</v>
      </c>
      <c r="J56" s="25" t="s">
        <v>319</v>
      </c>
      <c r="K56" s="65">
        <f>COUNTIF(Vendas!R:R,Clientes!C56)</f>
        <v>6</v>
      </c>
      <c r="L56" s="66">
        <f>SUMIF(Vendas!R:R,Clientes!C56,Vendas!F:F)</f>
        <v>12580</v>
      </c>
      <c r="M56" s="66">
        <f>SUMIFS(Vendas!F:F,Vendas!E:E,1,Vendas!R:R,Clientes!C56)</f>
        <v>0</v>
      </c>
      <c r="N56" s="66">
        <f>SUMIFS(Vendas!F:F,Vendas!E:E,2,Vendas!R:R,Clientes!C56)</f>
        <v>0</v>
      </c>
      <c r="O56" s="66">
        <f>SUMIFS(Vendas!F:F,Vendas!E:E,3,Vendas!R:R,Clientes!C56)</f>
        <v>900</v>
      </c>
      <c r="P56" s="66">
        <f>SUMIFS(Vendas!F:F,Vendas!E:E,4,Vendas!R:R,Clientes!C56)</f>
        <v>8400</v>
      </c>
      <c r="Q56" s="66">
        <f>SUMIFS(Vendas!F:F,Vendas!E:E,5,Vendas!R:R,Clientes!C56)</f>
        <v>120</v>
      </c>
      <c r="R56" s="66">
        <f>SUMIFS(Vendas!F:F,Vendas!E:E,6,Vendas!R:R,Clientes!C56)</f>
        <v>0</v>
      </c>
      <c r="S56" s="66">
        <f>SUMIFS(Vendas!F:F,Vendas!E:E,7,Vendas!R:R,Clientes!C56)</f>
        <v>1600</v>
      </c>
      <c r="T56" s="66">
        <f>SUMIFS(Vendas!F:F,Vendas!E:E,8,Vendas!R:R,Clientes!C56)</f>
        <v>0</v>
      </c>
      <c r="U56" s="66">
        <f>SUMIFS(Vendas!F:F,Vendas!E:E,9,Vendas!R:R,Clientes!C56)</f>
        <v>0</v>
      </c>
      <c r="V56" s="66">
        <f>SUMIFS(Vendas!F:F,Vendas!E:E,10,Vendas!R:R,Clientes!C56)</f>
        <v>0</v>
      </c>
      <c r="W56" s="66">
        <f>SUMIFS(Vendas!F:F,Vendas!E:E,11,Vendas!R:R,Clientes!C56)</f>
        <v>60</v>
      </c>
      <c r="X56" s="66">
        <f>SUMIFS(Vendas!F:F,Vendas!E:E,12,Vendas!R:R,Clientes!C56)</f>
        <v>1500</v>
      </c>
    </row>
    <row r="57" spans="3:24" ht="21.9" customHeight="1" x14ac:dyDescent="0.3">
      <c r="C57" s="24" t="s">
        <v>341</v>
      </c>
      <c r="D57" s="24" t="s">
        <v>320</v>
      </c>
      <c r="E57" s="24" t="s">
        <v>372</v>
      </c>
      <c r="F57" s="25" t="s">
        <v>321</v>
      </c>
      <c r="G57" s="25" t="s">
        <v>49</v>
      </c>
      <c r="H57" s="24" t="s">
        <v>113</v>
      </c>
      <c r="I57" s="26" t="s">
        <v>163</v>
      </c>
      <c r="J57" s="25" t="s">
        <v>322</v>
      </c>
      <c r="K57" s="65">
        <f>COUNTIF(Vendas!R:R,Clientes!C57)</f>
        <v>8</v>
      </c>
      <c r="L57" s="66">
        <f>SUMIF(Vendas!R:R,Clientes!C57,Vendas!F:F)</f>
        <v>8310</v>
      </c>
      <c r="M57" s="66">
        <f>SUMIFS(Vendas!F:F,Vendas!E:E,1,Vendas!R:R,Clientes!C57)</f>
        <v>350</v>
      </c>
      <c r="N57" s="66">
        <f>SUMIFS(Vendas!F:F,Vendas!E:E,2,Vendas!R:R,Clientes!C57)</f>
        <v>0</v>
      </c>
      <c r="O57" s="66">
        <f>SUMIFS(Vendas!F:F,Vendas!E:E,3,Vendas!R:R,Clientes!C57)</f>
        <v>1600</v>
      </c>
      <c r="P57" s="66">
        <f>SUMIFS(Vendas!F:F,Vendas!E:E,4,Vendas!R:R,Clientes!C57)</f>
        <v>0</v>
      </c>
      <c r="Q57" s="66">
        <f>SUMIFS(Vendas!F:F,Vendas!E:E,5,Vendas!R:R,Clientes!C57)</f>
        <v>0</v>
      </c>
      <c r="R57" s="66">
        <f>SUMIFS(Vendas!F:F,Vendas!E:E,6,Vendas!R:R,Clientes!C57)</f>
        <v>4300</v>
      </c>
      <c r="S57" s="66">
        <f>SUMIFS(Vendas!F:F,Vendas!E:E,7,Vendas!R:R,Clientes!C57)</f>
        <v>0</v>
      </c>
      <c r="T57" s="66">
        <f>SUMIFS(Vendas!F:F,Vendas!E:E,8,Vendas!R:R,Clientes!C57)</f>
        <v>80</v>
      </c>
      <c r="U57" s="66">
        <f>SUMIFS(Vendas!F:F,Vendas!E:E,9,Vendas!R:R,Clientes!C57)</f>
        <v>1600</v>
      </c>
      <c r="V57" s="66">
        <f>SUMIFS(Vendas!F:F,Vendas!E:E,10,Vendas!R:R,Clientes!C57)</f>
        <v>0</v>
      </c>
      <c r="W57" s="66">
        <f>SUMIFS(Vendas!F:F,Vendas!E:E,11,Vendas!R:R,Clientes!C57)</f>
        <v>380</v>
      </c>
      <c r="X57" s="66">
        <f>SUMIFS(Vendas!F:F,Vendas!E:E,12,Vendas!R:R,Clientes!C57)</f>
        <v>0</v>
      </c>
    </row>
    <row r="58" spans="3:24" ht="21.9" customHeight="1" x14ac:dyDescent="0.3">
      <c r="C58" s="24" t="s">
        <v>342</v>
      </c>
      <c r="D58" s="24" t="s">
        <v>323</v>
      </c>
      <c r="E58" s="24" t="s">
        <v>373</v>
      </c>
      <c r="F58" s="25" t="s">
        <v>165</v>
      </c>
      <c r="G58" s="25" t="s">
        <v>46</v>
      </c>
      <c r="H58" s="24" t="s">
        <v>115</v>
      </c>
      <c r="I58" s="26" t="s">
        <v>166</v>
      </c>
      <c r="J58" s="25" t="s">
        <v>324</v>
      </c>
      <c r="K58" s="65">
        <f>COUNTIF(Vendas!R:R,Clientes!C58)</f>
        <v>11</v>
      </c>
      <c r="L58" s="66">
        <f>SUMIF(Vendas!R:R,Clientes!C58,Vendas!F:F)</f>
        <v>5795</v>
      </c>
      <c r="M58" s="66">
        <f>SUMIFS(Vendas!F:F,Vendas!E:E,1,Vendas!R:R,Clientes!C58)</f>
        <v>670</v>
      </c>
      <c r="N58" s="66">
        <f>SUMIFS(Vendas!F:F,Vendas!E:E,2,Vendas!R:R,Clientes!C58)</f>
        <v>1050</v>
      </c>
      <c r="O58" s="66">
        <f>SUMIFS(Vendas!F:F,Vendas!E:E,3,Vendas!R:R,Clientes!C58)</f>
        <v>35</v>
      </c>
      <c r="P58" s="66">
        <f>SUMIFS(Vendas!F:F,Vendas!E:E,4,Vendas!R:R,Clientes!C58)</f>
        <v>0</v>
      </c>
      <c r="Q58" s="66">
        <f>SUMIFS(Vendas!F:F,Vendas!E:E,5,Vendas!R:R,Clientes!C58)</f>
        <v>2130</v>
      </c>
      <c r="R58" s="66">
        <f>SUMIFS(Vendas!F:F,Vendas!E:E,6,Vendas!R:R,Clientes!C58)</f>
        <v>0</v>
      </c>
      <c r="S58" s="66">
        <f>SUMIFS(Vendas!F:F,Vendas!E:E,7,Vendas!R:R,Clientes!C58)</f>
        <v>60</v>
      </c>
      <c r="T58" s="66">
        <f>SUMIFS(Vendas!F:F,Vendas!E:E,8,Vendas!R:R,Clientes!C58)</f>
        <v>250</v>
      </c>
      <c r="U58" s="66">
        <f>SUMIFS(Vendas!F:F,Vendas!E:E,9,Vendas!R:R,Clientes!C58)</f>
        <v>0</v>
      </c>
      <c r="V58" s="66">
        <f>SUMIFS(Vendas!F:F,Vendas!E:E,10,Vendas!R:R,Clientes!C58)</f>
        <v>1000</v>
      </c>
      <c r="W58" s="66">
        <f>SUMIFS(Vendas!F:F,Vendas!E:E,11,Vendas!R:R,Clientes!C58)</f>
        <v>0</v>
      </c>
      <c r="X58" s="66">
        <f>SUMIFS(Vendas!F:F,Vendas!E:E,12,Vendas!R:R,Clientes!C58)</f>
        <v>600</v>
      </c>
    </row>
    <row r="59" spans="3:24" ht="21.9" customHeight="1" x14ac:dyDescent="0.3">
      <c r="C59" s="24" t="s">
        <v>343</v>
      </c>
      <c r="D59" s="24" t="s">
        <v>325</v>
      </c>
      <c r="E59" s="24" t="s">
        <v>374</v>
      </c>
      <c r="F59" s="25" t="s">
        <v>168</v>
      </c>
      <c r="G59" s="25" t="s">
        <v>45</v>
      </c>
      <c r="H59" s="24" t="s">
        <v>116</v>
      </c>
      <c r="I59" s="26" t="s">
        <v>169</v>
      </c>
      <c r="J59" s="25" t="s">
        <v>326</v>
      </c>
      <c r="K59" s="65">
        <f>COUNTIF(Vendas!R:R,Clientes!C59)</f>
        <v>6</v>
      </c>
      <c r="L59" s="66">
        <f>SUMIF(Vendas!R:R,Clientes!C59,Vendas!F:F)</f>
        <v>5010</v>
      </c>
      <c r="M59" s="66">
        <f>SUMIFS(Vendas!F:F,Vendas!E:E,1,Vendas!R:R,Clientes!C59)</f>
        <v>0</v>
      </c>
      <c r="N59" s="66">
        <f>SUMIFS(Vendas!F:F,Vendas!E:E,2,Vendas!R:R,Clientes!C59)</f>
        <v>800</v>
      </c>
      <c r="O59" s="66">
        <f>SUMIFS(Vendas!F:F,Vendas!E:E,3,Vendas!R:R,Clientes!C59)</f>
        <v>400</v>
      </c>
      <c r="P59" s="66">
        <f>SUMIFS(Vendas!F:F,Vendas!E:E,4,Vendas!R:R,Clientes!C59)</f>
        <v>0</v>
      </c>
      <c r="Q59" s="66">
        <f>SUMIFS(Vendas!F:F,Vendas!E:E,5,Vendas!R:R,Clientes!C59)</f>
        <v>0</v>
      </c>
      <c r="R59" s="66">
        <f>SUMIFS(Vendas!F:F,Vendas!E:E,6,Vendas!R:R,Clientes!C59)</f>
        <v>0</v>
      </c>
      <c r="S59" s="66">
        <f>SUMIFS(Vendas!F:F,Vendas!E:E,7,Vendas!R:R,Clientes!C59)</f>
        <v>0</v>
      </c>
      <c r="T59" s="66">
        <f>SUMIFS(Vendas!F:F,Vendas!E:E,8,Vendas!R:R,Clientes!C59)</f>
        <v>1600</v>
      </c>
      <c r="U59" s="66">
        <f>SUMIFS(Vendas!F:F,Vendas!E:E,9,Vendas!R:R,Clientes!C59)</f>
        <v>1800</v>
      </c>
      <c r="V59" s="66">
        <f>SUMIFS(Vendas!F:F,Vendas!E:E,10,Vendas!R:R,Clientes!C59)</f>
        <v>270</v>
      </c>
      <c r="W59" s="66">
        <f>SUMIFS(Vendas!F:F,Vendas!E:E,11,Vendas!R:R,Clientes!C59)</f>
        <v>0</v>
      </c>
      <c r="X59" s="66">
        <f>SUMIFS(Vendas!F:F,Vendas!E:E,12,Vendas!R:R,Clientes!C59)</f>
        <v>140</v>
      </c>
    </row>
    <row r="60" spans="3:24" ht="21.9" customHeight="1" x14ac:dyDescent="0.3">
      <c r="C60" s="24" t="s">
        <v>344</v>
      </c>
      <c r="D60" s="24" t="s">
        <v>328</v>
      </c>
      <c r="E60" s="24" t="s">
        <v>375</v>
      </c>
      <c r="F60" s="25" t="s">
        <v>171</v>
      </c>
      <c r="G60" s="25" t="s">
        <v>46</v>
      </c>
      <c r="H60" s="24" t="s">
        <v>115</v>
      </c>
      <c r="I60" s="26" t="s">
        <v>172</v>
      </c>
      <c r="J60" s="25" t="s">
        <v>329</v>
      </c>
      <c r="K60" s="65">
        <f>COUNTIF(Vendas!R:R,Clientes!C60)</f>
        <v>7</v>
      </c>
      <c r="L60" s="66">
        <f>SUMIF(Vendas!R:R,Clientes!C60,Vendas!F:F)</f>
        <v>7840</v>
      </c>
      <c r="M60" s="66">
        <f>SUMIFS(Vendas!F:F,Vendas!E:E,1,Vendas!R:R,Clientes!C60)</f>
        <v>0</v>
      </c>
      <c r="N60" s="66">
        <f>SUMIFS(Vendas!F:F,Vendas!E:E,2,Vendas!R:R,Clientes!C60)</f>
        <v>60</v>
      </c>
      <c r="O60" s="66">
        <f>SUMIFS(Vendas!F:F,Vendas!E:E,3,Vendas!R:R,Clientes!C60)</f>
        <v>0</v>
      </c>
      <c r="P60" s="66">
        <f>SUMIFS(Vendas!F:F,Vendas!E:E,4,Vendas!R:R,Clientes!C60)</f>
        <v>3200</v>
      </c>
      <c r="Q60" s="66">
        <f>SUMIFS(Vendas!F:F,Vendas!E:E,5,Vendas!R:R,Clientes!C60)</f>
        <v>0</v>
      </c>
      <c r="R60" s="66">
        <f>SUMIFS(Vendas!F:F,Vendas!E:E,6,Vendas!R:R,Clientes!C60)</f>
        <v>0</v>
      </c>
      <c r="S60" s="66">
        <f>SUMIFS(Vendas!F:F,Vendas!E:E,7,Vendas!R:R,Clientes!C60)</f>
        <v>0</v>
      </c>
      <c r="T60" s="66">
        <f>SUMIFS(Vendas!F:F,Vendas!E:E,8,Vendas!R:R,Clientes!C60)</f>
        <v>0</v>
      </c>
      <c r="U60" s="66">
        <f>SUMIFS(Vendas!F:F,Vendas!E:E,9,Vendas!R:R,Clientes!C60)</f>
        <v>300</v>
      </c>
      <c r="V60" s="66">
        <f>SUMIFS(Vendas!F:F,Vendas!E:E,10,Vendas!R:R,Clientes!C60)</f>
        <v>2400</v>
      </c>
      <c r="W60" s="66">
        <f>SUMIFS(Vendas!F:F,Vendas!E:E,11,Vendas!R:R,Clientes!C60)</f>
        <v>340</v>
      </c>
      <c r="X60" s="66">
        <f>SUMIFS(Vendas!F:F,Vendas!E:E,12,Vendas!R:R,Clientes!C60)</f>
        <v>1540</v>
      </c>
    </row>
    <row r="61" spans="3:24" ht="21.9" customHeight="1" x14ac:dyDescent="0.3">
      <c r="C61" s="24" t="s">
        <v>345</v>
      </c>
      <c r="D61" s="24" t="s">
        <v>330</v>
      </c>
      <c r="E61" s="24" t="s">
        <v>376</v>
      </c>
      <c r="F61" s="25" t="s">
        <v>331</v>
      </c>
      <c r="G61" s="25" t="s">
        <v>44</v>
      </c>
      <c r="H61" s="24" t="s">
        <v>113</v>
      </c>
      <c r="I61" s="26" t="s">
        <v>175</v>
      </c>
      <c r="J61" s="25" t="s">
        <v>332</v>
      </c>
      <c r="K61" s="65">
        <f>COUNTIF(Vendas!R:R,Clientes!C61)</f>
        <v>10</v>
      </c>
      <c r="L61" s="66">
        <f>SUMIF(Vendas!R:R,Clientes!C61,Vendas!F:F)</f>
        <v>7502</v>
      </c>
      <c r="M61" s="66">
        <f>SUMIFS(Vendas!F:F,Vendas!E:E,1,Vendas!R:R,Clientes!C61)</f>
        <v>1800</v>
      </c>
      <c r="N61" s="66">
        <f>SUMIFS(Vendas!F:F,Vendas!E:E,2,Vendas!R:R,Clientes!C61)</f>
        <v>250</v>
      </c>
      <c r="O61" s="66">
        <f>SUMIFS(Vendas!F:F,Vendas!E:E,3,Vendas!R:R,Clientes!C61)</f>
        <v>0</v>
      </c>
      <c r="P61" s="66">
        <f>SUMIFS(Vendas!F:F,Vendas!E:E,4,Vendas!R:R,Clientes!C61)</f>
        <v>270</v>
      </c>
      <c r="Q61" s="66">
        <f>SUMIFS(Vendas!F:F,Vendas!E:E,5,Vendas!R:R,Clientes!C61)</f>
        <v>3200</v>
      </c>
      <c r="R61" s="66">
        <f>SUMIFS(Vendas!F:F,Vendas!E:E,6,Vendas!R:R,Clientes!C61)</f>
        <v>0</v>
      </c>
      <c r="S61" s="66">
        <f>SUMIFS(Vendas!F:F,Vendas!E:E,7,Vendas!R:R,Clientes!C61)</f>
        <v>0</v>
      </c>
      <c r="T61" s="66">
        <f>SUMIFS(Vendas!F:F,Vendas!E:E,8,Vendas!R:R,Clientes!C61)</f>
        <v>500</v>
      </c>
      <c r="U61" s="66">
        <f>SUMIFS(Vendas!F:F,Vendas!E:E,9,Vendas!R:R,Clientes!C61)</f>
        <v>130</v>
      </c>
      <c r="V61" s="66">
        <f>SUMIFS(Vendas!F:F,Vendas!E:E,10,Vendas!R:R,Clientes!C61)</f>
        <v>0</v>
      </c>
      <c r="W61" s="66">
        <f>SUMIFS(Vendas!F:F,Vendas!E:E,11,Vendas!R:R,Clientes!C61)</f>
        <v>1352</v>
      </c>
      <c r="X61" s="66">
        <f>SUMIFS(Vendas!F:F,Vendas!E:E,12,Vendas!R:R,Clientes!C61)</f>
        <v>0</v>
      </c>
    </row>
    <row r="62" spans="3:24" ht="21.9" customHeight="1" x14ac:dyDescent="0.3">
      <c r="C62" s="24" t="s">
        <v>346</v>
      </c>
      <c r="D62" s="24" t="s">
        <v>333</v>
      </c>
      <c r="E62" s="24" t="s">
        <v>377</v>
      </c>
      <c r="F62" s="25" t="s">
        <v>177</v>
      </c>
      <c r="G62" s="25" t="s">
        <v>47</v>
      </c>
      <c r="H62" s="24" t="s">
        <v>114</v>
      </c>
      <c r="I62" s="26" t="s">
        <v>178</v>
      </c>
      <c r="J62" s="25" t="s">
        <v>334</v>
      </c>
      <c r="K62" s="65">
        <f>COUNTIF(Vendas!R:R,Clientes!C62)</f>
        <v>11</v>
      </c>
      <c r="L62" s="66">
        <f>SUMIF(Vendas!R:R,Clientes!C62,Vendas!F:F)</f>
        <v>9760</v>
      </c>
      <c r="M62" s="66">
        <f>SUMIFS(Vendas!F:F,Vendas!E:E,1,Vendas!R:R,Clientes!C62)</f>
        <v>70</v>
      </c>
      <c r="N62" s="66">
        <f>SUMIFS(Vendas!F:F,Vendas!E:E,2,Vendas!R:R,Clientes!C62)</f>
        <v>2400</v>
      </c>
      <c r="O62" s="66">
        <f>SUMIFS(Vendas!F:F,Vendas!E:E,3,Vendas!R:R,Clientes!C62)</f>
        <v>1800</v>
      </c>
      <c r="P62" s="66">
        <f>SUMIFS(Vendas!F:F,Vendas!E:E,4,Vendas!R:R,Clientes!C62)</f>
        <v>660</v>
      </c>
      <c r="Q62" s="66">
        <f>SUMIFS(Vendas!F:F,Vendas!E:E,5,Vendas!R:R,Clientes!C62)</f>
        <v>400</v>
      </c>
      <c r="R62" s="66">
        <f>SUMIFS(Vendas!F:F,Vendas!E:E,6,Vendas!R:R,Clientes!C62)</f>
        <v>700</v>
      </c>
      <c r="S62" s="66">
        <f>SUMIFS(Vendas!F:F,Vendas!E:E,7,Vendas!R:R,Clientes!C62)</f>
        <v>1050</v>
      </c>
      <c r="T62" s="66">
        <f>SUMIFS(Vendas!F:F,Vendas!E:E,8,Vendas!R:R,Clientes!C62)</f>
        <v>0</v>
      </c>
      <c r="U62" s="66">
        <f>SUMIFS(Vendas!F:F,Vendas!E:E,9,Vendas!R:R,Clientes!C62)</f>
        <v>1080</v>
      </c>
      <c r="V62" s="66">
        <f>SUMIFS(Vendas!F:F,Vendas!E:E,10,Vendas!R:R,Clientes!C62)</f>
        <v>0</v>
      </c>
      <c r="W62" s="66">
        <f>SUMIFS(Vendas!F:F,Vendas!E:E,11,Vendas!R:R,Clientes!C62)</f>
        <v>0</v>
      </c>
      <c r="X62" s="66">
        <f>SUMIFS(Vendas!F:F,Vendas!E:E,12,Vendas!R:R,Clientes!C62)</f>
        <v>1600</v>
      </c>
    </row>
    <row r="63" spans="3:24" ht="21.9" customHeight="1" x14ac:dyDescent="0.3">
      <c r="C63" s="24" t="s">
        <v>347</v>
      </c>
      <c r="D63" s="24" t="s">
        <v>335</v>
      </c>
      <c r="E63" s="24" t="s">
        <v>378</v>
      </c>
      <c r="F63" s="25" t="s">
        <v>180</v>
      </c>
      <c r="G63" s="25" t="s">
        <v>49</v>
      </c>
      <c r="H63" s="24" t="s">
        <v>113</v>
      </c>
      <c r="I63" s="26" t="s">
        <v>181</v>
      </c>
      <c r="J63" s="25" t="s">
        <v>336</v>
      </c>
      <c r="K63" s="65">
        <f>COUNTIF(Vendas!R:R,Clientes!C63)</f>
        <v>12</v>
      </c>
      <c r="L63" s="66">
        <f>SUMIF(Vendas!R:R,Clientes!C63,Vendas!F:F)</f>
        <v>8695</v>
      </c>
      <c r="M63" s="66">
        <f>SUMIFS(Vendas!F:F,Vendas!E:E,1,Vendas!R:R,Clientes!C63)</f>
        <v>0</v>
      </c>
      <c r="N63" s="66">
        <f>SUMIFS(Vendas!F:F,Vendas!E:E,2,Vendas!R:R,Clientes!C63)</f>
        <v>360</v>
      </c>
      <c r="O63" s="66">
        <f>SUMIFS(Vendas!F:F,Vendas!E:E,3,Vendas!R:R,Clientes!C63)</f>
        <v>0</v>
      </c>
      <c r="P63" s="66">
        <f>SUMIFS(Vendas!F:F,Vendas!E:E,4,Vendas!R:R,Clientes!C63)</f>
        <v>70</v>
      </c>
      <c r="Q63" s="66">
        <f>SUMIFS(Vendas!F:F,Vendas!E:E,5,Vendas!R:R,Clientes!C63)</f>
        <v>1600</v>
      </c>
      <c r="R63" s="66">
        <f>SUMIFS(Vendas!F:F,Vendas!E:E,6,Vendas!R:R,Clientes!C63)</f>
        <v>2400</v>
      </c>
      <c r="S63" s="66">
        <f>SUMIFS(Vendas!F:F,Vendas!E:E,7,Vendas!R:R,Clientes!C63)</f>
        <v>2820</v>
      </c>
      <c r="T63" s="66">
        <f>SUMIFS(Vendas!F:F,Vendas!E:E,8,Vendas!R:R,Clientes!C63)</f>
        <v>800</v>
      </c>
      <c r="U63" s="66">
        <f>SUMIFS(Vendas!F:F,Vendas!E:E,9,Vendas!R:R,Clientes!C63)</f>
        <v>0</v>
      </c>
      <c r="V63" s="66">
        <f>SUMIFS(Vendas!F:F,Vendas!E:E,10,Vendas!R:R,Clientes!C63)</f>
        <v>105</v>
      </c>
      <c r="W63" s="66">
        <f>SUMIFS(Vendas!F:F,Vendas!E:E,11,Vendas!R:R,Clientes!C63)</f>
        <v>250</v>
      </c>
      <c r="X63" s="66">
        <f>SUMIFS(Vendas!F:F,Vendas!E:E,12,Vendas!R:R,Clientes!C63)</f>
        <v>290</v>
      </c>
    </row>
    <row r="64" spans="3:24" ht="21.9" customHeight="1" x14ac:dyDescent="0.3">
      <c r="C64" s="24" t="s">
        <v>388</v>
      </c>
      <c r="D64" s="61" t="s">
        <v>485</v>
      </c>
      <c r="E64" s="24" t="s">
        <v>389</v>
      </c>
      <c r="F64" s="25" t="s">
        <v>180</v>
      </c>
      <c r="G64" s="62" t="s">
        <v>390</v>
      </c>
      <c r="H64" s="24" t="s">
        <v>113</v>
      </c>
      <c r="I64" s="26" t="s">
        <v>391</v>
      </c>
      <c r="J64" s="64" t="s">
        <v>392</v>
      </c>
      <c r="K64" s="65">
        <f>COUNTIF(Vendas!R:R,Clientes!C64)</f>
        <v>9</v>
      </c>
      <c r="L64" s="66">
        <f>SUMIF(Vendas!R:R,Clientes!C64,Vendas!F:F)</f>
        <v>7425</v>
      </c>
      <c r="M64" s="66">
        <f>SUMIFS(Vendas!F:F,Vendas!E:E,1,Vendas!R:R,Clientes!C64)</f>
        <v>35</v>
      </c>
      <c r="N64" s="66">
        <f>SUMIFS(Vendas!F:F,Vendas!E:E,2,Vendas!R:R,Clientes!C64)</f>
        <v>2700</v>
      </c>
      <c r="O64" s="66">
        <f>SUMIFS(Vendas!F:F,Vendas!E:E,3,Vendas!R:R,Clientes!C64)</f>
        <v>210</v>
      </c>
      <c r="P64" s="66">
        <f>SUMIFS(Vendas!F:F,Vendas!E:E,4,Vendas!R:R,Clientes!C64)</f>
        <v>0</v>
      </c>
      <c r="Q64" s="66">
        <f>SUMIFS(Vendas!F:F,Vendas!E:E,5,Vendas!R:R,Clientes!C64)</f>
        <v>0</v>
      </c>
      <c r="R64" s="66">
        <f>SUMIFS(Vendas!F:F,Vendas!E:E,6,Vendas!R:R,Clientes!C64)</f>
        <v>900</v>
      </c>
      <c r="S64" s="66">
        <f>SUMIFS(Vendas!F:F,Vendas!E:E,7,Vendas!R:R,Clientes!C64)</f>
        <v>1800</v>
      </c>
      <c r="T64" s="66">
        <f>SUMIFS(Vendas!F:F,Vendas!E:E,8,Vendas!R:R,Clientes!C64)</f>
        <v>180</v>
      </c>
      <c r="U64" s="66">
        <f>SUMIFS(Vendas!F:F,Vendas!E:E,9,Vendas!R:R,Clientes!C64)</f>
        <v>0</v>
      </c>
      <c r="V64" s="66">
        <f>SUMIFS(Vendas!F:F,Vendas!E:E,10,Vendas!R:R,Clientes!C64)</f>
        <v>800</v>
      </c>
      <c r="W64" s="66">
        <f>SUMIFS(Vendas!F:F,Vendas!E:E,11,Vendas!R:R,Clientes!C64)</f>
        <v>800</v>
      </c>
      <c r="X64" s="66">
        <f>SUMIFS(Vendas!F:F,Vendas!E:E,12,Vendas!R:R,Clientes!C64)</f>
        <v>0</v>
      </c>
    </row>
    <row r="65" spans="3:24" ht="21.9" customHeight="1" x14ac:dyDescent="0.3">
      <c r="C65" s="24" t="s">
        <v>393</v>
      </c>
      <c r="D65" s="61" t="s">
        <v>486</v>
      </c>
      <c r="E65" s="24" t="s">
        <v>394</v>
      </c>
      <c r="F65" s="25" t="s">
        <v>180</v>
      </c>
      <c r="G65" s="62" t="s">
        <v>395</v>
      </c>
      <c r="H65" s="24" t="s">
        <v>113</v>
      </c>
      <c r="I65" s="26" t="s">
        <v>396</v>
      </c>
      <c r="J65" s="64" t="s">
        <v>397</v>
      </c>
      <c r="K65" s="65">
        <f>COUNTIF(Vendas!R:R,Clientes!C65)</f>
        <v>10</v>
      </c>
      <c r="L65" s="66">
        <f>SUMIF(Vendas!R:R,Clientes!C65,Vendas!F:F)</f>
        <v>18831</v>
      </c>
      <c r="M65" s="66">
        <f>SUMIFS(Vendas!F:F,Vendas!E:E,1,Vendas!R:R,Clientes!C65)</f>
        <v>80</v>
      </c>
      <c r="N65" s="66">
        <f>SUMIFS(Vendas!F:F,Vendas!E:E,2,Vendas!R:R,Clientes!C65)</f>
        <v>0</v>
      </c>
      <c r="O65" s="66">
        <f>SUMIFS(Vendas!F:F,Vendas!E:E,3,Vendas!R:R,Clientes!C65)</f>
        <v>1040</v>
      </c>
      <c r="P65" s="66">
        <f>SUMIFS(Vendas!F:F,Vendas!E:E,4,Vendas!R:R,Clientes!C65)</f>
        <v>9300</v>
      </c>
      <c r="Q65" s="66">
        <f>SUMIFS(Vendas!F:F,Vendas!E:E,5,Vendas!R:R,Clientes!C65)</f>
        <v>0</v>
      </c>
      <c r="R65" s="66">
        <f>SUMIFS(Vendas!F:F,Vendas!E:E,6,Vendas!R:R,Clientes!C65)</f>
        <v>0</v>
      </c>
      <c r="S65" s="66">
        <f>SUMIFS(Vendas!F:F,Vendas!E:E,7,Vendas!R:R,Clientes!C65)</f>
        <v>5635</v>
      </c>
      <c r="T65" s="66">
        <f>SUMIFS(Vendas!F:F,Vendas!E:E,8,Vendas!R:R,Clientes!C65)</f>
        <v>0</v>
      </c>
      <c r="U65" s="66">
        <f>SUMIFS(Vendas!F:F,Vendas!E:E,9,Vendas!R:R,Clientes!C65)</f>
        <v>0</v>
      </c>
      <c r="V65" s="66">
        <f>SUMIFS(Vendas!F:F,Vendas!E:E,10,Vendas!R:R,Clientes!C65)</f>
        <v>2700</v>
      </c>
      <c r="W65" s="66">
        <f>SUMIFS(Vendas!F:F,Vendas!E:E,11,Vendas!R:R,Clientes!C65)</f>
        <v>76</v>
      </c>
      <c r="X65" s="66">
        <f>SUMIFS(Vendas!F:F,Vendas!E:E,12,Vendas!R:R,Clientes!C65)</f>
        <v>0</v>
      </c>
    </row>
    <row r="66" spans="3:24" ht="21.9" customHeight="1" x14ac:dyDescent="0.3">
      <c r="C66" s="24" t="s">
        <v>398</v>
      </c>
      <c r="D66" s="61" t="s">
        <v>487</v>
      </c>
      <c r="E66" s="24" t="s">
        <v>399</v>
      </c>
      <c r="F66" s="62" t="s">
        <v>400</v>
      </c>
      <c r="G66" s="62" t="s">
        <v>401</v>
      </c>
      <c r="H66" s="24" t="s">
        <v>113</v>
      </c>
      <c r="I66" s="26" t="s">
        <v>402</v>
      </c>
      <c r="J66" s="64" t="s">
        <v>403</v>
      </c>
      <c r="K66" s="65">
        <f>COUNTIF(Vendas!R:R,Clientes!C66)</f>
        <v>10</v>
      </c>
      <c r="L66" s="66">
        <f>SUMIF(Vendas!R:R,Clientes!C66,Vendas!F:F)</f>
        <v>2987</v>
      </c>
      <c r="M66" s="66">
        <f>SUMIFS(Vendas!F:F,Vendas!E:E,1,Vendas!R:R,Clientes!C66)</f>
        <v>0</v>
      </c>
      <c r="N66" s="66">
        <f>SUMIFS(Vendas!F:F,Vendas!E:E,2,Vendas!R:R,Clientes!C66)</f>
        <v>180</v>
      </c>
      <c r="O66" s="66">
        <f>SUMIFS(Vendas!F:F,Vendas!E:E,3,Vendas!R:R,Clientes!C66)</f>
        <v>0</v>
      </c>
      <c r="P66" s="66">
        <f>SUMIFS(Vendas!F:F,Vendas!E:E,4,Vendas!R:R,Clientes!C66)</f>
        <v>1500</v>
      </c>
      <c r="Q66" s="66">
        <f>SUMIFS(Vendas!F:F,Vendas!E:E,5,Vendas!R:R,Clientes!C66)</f>
        <v>1025</v>
      </c>
      <c r="R66" s="66">
        <f>SUMIFS(Vendas!F:F,Vendas!E:E,6,Vendas!R:R,Clientes!C66)</f>
        <v>152</v>
      </c>
      <c r="S66" s="66">
        <f>SUMIFS(Vendas!F:F,Vendas!E:E,7,Vendas!R:R,Clientes!C66)</f>
        <v>60</v>
      </c>
      <c r="T66" s="66">
        <f>SUMIFS(Vendas!F:F,Vendas!E:E,8,Vendas!R:R,Clientes!C66)</f>
        <v>0</v>
      </c>
      <c r="U66" s="66">
        <f>SUMIFS(Vendas!F:F,Vendas!E:E,9,Vendas!R:R,Clientes!C66)</f>
        <v>0</v>
      </c>
      <c r="V66" s="66">
        <f>SUMIFS(Vendas!F:F,Vendas!E:E,10,Vendas!R:R,Clientes!C66)</f>
        <v>0</v>
      </c>
      <c r="W66" s="66">
        <f>SUMIFS(Vendas!F:F,Vendas!E:E,11,Vendas!R:R,Clientes!C66)</f>
        <v>70</v>
      </c>
      <c r="X66" s="66">
        <f>SUMIFS(Vendas!F:F,Vendas!E:E,12,Vendas!R:R,Clientes!C66)</f>
        <v>0</v>
      </c>
    </row>
    <row r="67" spans="3:24" ht="21.9" customHeight="1" x14ac:dyDescent="0.3">
      <c r="C67" s="24" t="s">
        <v>404</v>
      </c>
      <c r="D67" s="61" t="s">
        <v>488</v>
      </c>
      <c r="E67" s="24" t="s">
        <v>405</v>
      </c>
      <c r="F67" s="62" t="s">
        <v>406</v>
      </c>
      <c r="G67" s="62" t="s">
        <v>241</v>
      </c>
      <c r="H67" s="24" t="s">
        <v>114</v>
      </c>
      <c r="I67" s="26" t="s">
        <v>407</v>
      </c>
      <c r="J67" s="64" t="s">
        <v>408</v>
      </c>
      <c r="K67" s="65">
        <f>COUNTIF(Vendas!R:R,Clientes!C67)</f>
        <v>10</v>
      </c>
      <c r="L67" s="66">
        <f>SUMIF(Vendas!R:R,Clientes!C67,Vendas!F:F)</f>
        <v>4510</v>
      </c>
      <c r="M67" s="66">
        <f>SUMIFS(Vendas!F:F,Vendas!E:E,1,Vendas!R:R,Clientes!C67)</f>
        <v>90</v>
      </c>
      <c r="N67" s="66">
        <f>SUMIFS(Vendas!F:F,Vendas!E:E,2,Vendas!R:R,Clientes!C67)</f>
        <v>70</v>
      </c>
      <c r="O67" s="66">
        <f>SUMIFS(Vendas!F:F,Vendas!E:E,3,Vendas!R:R,Clientes!C67)</f>
        <v>350</v>
      </c>
      <c r="P67" s="66">
        <f>SUMIFS(Vendas!F:F,Vendas!E:E,4,Vendas!R:R,Clientes!C67)</f>
        <v>0</v>
      </c>
      <c r="Q67" s="66">
        <f>SUMIFS(Vendas!F:F,Vendas!E:E,5,Vendas!R:R,Clientes!C67)</f>
        <v>440</v>
      </c>
      <c r="R67" s="66">
        <f>SUMIFS(Vendas!F:F,Vendas!E:E,6,Vendas!R:R,Clientes!C67)</f>
        <v>0</v>
      </c>
      <c r="S67" s="66">
        <f>SUMIFS(Vendas!F:F,Vendas!E:E,7,Vendas!R:R,Clientes!C67)</f>
        <v>750</v>
      </c>
      <c r="T67" s="66">
        <f>SUMIFS(Vendas!F:F,Vendas!E:E,8,Vendas!R:R,Clientes!C67)</f>
        <v>0</v>
      </c>
      <c r="U67" s="66">
        <f>SUMIFS(Vendas!F:F,Vendas!E:E,9,Vendas!R:R,Clientes!C67)</f>
        <v>1010</v>
      </c>
      <c r="V67" s="66">
        <f>SUMIFS(Vendas!F:F,Vendas!E:E,10,Vendas!R:R,Clientes!C67)</f>
        <v>600</v>
      </c>
      <c r="W67" s="66">
        <f>SUMIFS(Vendas!F:F,Vendas!E:E,11,Vendas!R:R,Clientes!C67)</f>
        <v>1200</v>
      </c>
      <c r="X67" s="66">
        <f>SUMIFS(Vendas!F:F,Vendas!E:E,12,Vendas!R:R,Clientes!C67)</f>
        <v>0</v>
      </c>
    </row>
    <row r="68" spans="3:24" ht="21.9" customHeight="1" x14ac:dyDescent="0.3">
      <c r="C68" s="24" t="s">
        <v>409</v>
      </c>
      <c r="D68" s="61" t="s">
        <v>489</v>
      </c>
      <c r="E68" s="24" t="s">
        <v>410</v>
      </c>
      <c r="F68" s="62" t="s">
        <v>411</v>
      </c>
      <c r="G68" s="62" t="s">
        <v>245</v>
      </c>
      <c r="H68" s="24" t="s">
        <v>113</v>
      </c>
      <c r="I68" s="26" t="s">
        <v>412</v>
      </c>
      <c r="J68" s="64" t="s">
        <v>413</v>
      </c>
      <c r="K68" s="65">
        <f>COUNTIF(Vendas!R:R,Clientes!C68)</f>
        <v>8</v>
      </c>
      <c r="L68" s="66">
        <f>SUMIF(Vendas!R:R,Clientes!C68,Vendas!F:F)</f>
        <v>4850</v>
      </c>
      <c r="M68" s="66">
        <f>SUMIFS(Vendas!F:F,Vendas!E:E,1,Vendas!R:R,Clientes!C68)</f>
        <v>1100</v>
      </c>
      <c r="N68" s="66">
        <f>SUMIFS(Vendas!F:F,Vendas!E:E,2,Vendas!R:R,Clientes!C68)</f>
        <v>0</v>
      </c>
      <c r="O68" s="66">
        <f>SUMIFS(Vendas!F:F,Vendas!E:E,3,Vendas!R:R,Clientes!C68)</f>
        <v>180</v>
      </c>
      <c r="P68" s="66">
        <f>SUMIFS(Vendas!F:F,Vendas!E:E,4,Vendas!R:R,Clientes!C68)</f>
        <v>0</v>
      </c>
      <c r="Q68" s="66">
        <f>SUMIFS(Vendas!F:F,Vendas!E:E,5,Vendas!R:R,Clientes!C68)</f>
        <v>0</v>
      </c>
      <c r="R68" s="66">
        <f>SUMIFS(Vendas!F:F,Vendas!E:E,6,Vendas!R:R,Clientes!C68)</f>
        <v>740</v>
      </c>
      <c r="S68" s="66">
        <f>SUMIFS(Vendas!F:F,Vendas!E:E,7,Vendas!R:R,Clientes!C68)</f>
        <v>70</v>
      </c>
      <c r="T68" s="66">
        <f>SUMIFS(Vendas!F:F,Vendas!E:E,8,Vendas!R:R,Clientes!C68)</f>
        <v>0</v>
      </c>
      <c r="U68" s="66">
        <f>SUMIFS(Vendas!F:F,Vendas!E:E,9,Vendas!R:R,Clientes!C68)</f>
        <v>0</v>
      </c>
      <c r="V68" s="66">
        <f>SUMIFS(Vendas!F:F,Vendas!E:E,10,Vendas!R:R,Clientes!C68)</f>
        <v>60</v>
      </c>
      <c r="W68" s="66">
        <f>SUMIFS(Vendas!F:F,Vendas!E:E,11,Vendas!R:R,Clientes!C68)</f>
        <v>0</v>
      </c>
      <c r="X68" s="66">
        <f>SUMIFS(Vendas!F:F,Vendas!E:E,12,Vendas!R:R,Clientes!C68)</f>
        <v>2700</v>
      </c>
    </row>
    <row r="69" spans="3:24" ht="21.9" customHeight="1" x14ac:dyDescent="0.3">
      <c r="C69" s="24" t="s">
        <v>414</v>
      </c>
      <c r="D69" s="61" t="s">
        <v>490</v>
      </c>
      <c r="E69" s="24" t="s">
        <v>415</v>
      </c>
      <c r="F69" s="62" t="s">
        <v>416</v>
      </c>
      <c r="G69" s="62" t="s">
        <v>46</v>
      </c>
      <c r="H69" s="24" t="s">
        <v>113</v>
      </c>
      <c r="I69" s="26" t="s">
        <v>417</v>
      </c>
      <c r="J69" s="64" t="s">
        <v>418</v>
      </c>
      <c r="K69" s="65">
        <f>COUNTIF(Vendas!R:R,Clientes!C69)</f>
        <v>9</v>
      </c>
      <c r="L69" s="66">
        <f>SUMIF(Vendas!R:R,Clientes!C69,Vendas!F:F)</f>
        <v>4870</v>
      </c>
      <c r="M69" s="66">
        <f>SUMIFS(Vendas!F:F,Vendas!E:E,1,Vendas!R:R,Clientes!C69)</f>
        <v>0</v>
      </c>
      <c r="N69" s="66">
        <f>SUMIFS(Vendas!F:F,Vendas!E:E,2,Vendas!R:R,Clientes!C69)</f>
        <v>120</v>
      </c>
      <c r="O69" s="66">
        <f>SUMIFS(Vendas!F:F,Vendas!E:E,3,Vendas!R:R,Clientes!C69)</f>
        <v>180</v>
      </c>
      <c r="P69" s="66">
        <f>SUMIFS(Vendas!F:F,Vendas!E:E,4,Vendas!R:R,Clientes!C69)</f>
        <v>0</v>
      </c>
      <c r="Q69" s="66">
        <f>SUMIFS(Vendas!F:F,Vendas!E:E,5,Vendas!R:R,Clientes!C69)</f>
        <v>0</v>
      </c>
      <c r="R69" s="66">
        <f>SUMIFS(Vendas!F:F,Vendas!E:E,6,Vendas!R:R,Clientes!C69)</f>
        <v>0</v>
      </c>
      <c r="S69" s="66">
        <f>SUMIFS(Vendas!F:F,Vendas!E:E,7,Vendas!R:R,Clientes!C69)</f>
        <v>500</v>
      </c>
      <c r="T69" s="66">
        <f>SUMIFS(Vendas!F:F,Vendas!E:E,8,Vendas!R:R,Clientes!C69)</f>
        <v>1200</v>
      </c>
      <c r="U69" s="66">
        <f>SUMIFS(Vendas!F:F,Vendas!E:E,9,Vendas!R:R,Clientes!C69)</f>
        <v>1800</v>
      </c>
      <c r="V69" s="66">
        <f>SUMIFS(Vendas!F:F,Vendas!E:E,10,Vendas!R:R,Clientes!C69)</f>
        <v>240</v>
      </c>
      <c r="W69" s="66">
        <f>SUMIFS(Vendas!F:F,Vendas!E:E,11,Vendas!R:R,Clientes!C69)</f>
        <v>400</v>
      </c>
      <c r="X69" s="66">
        <f>SUMIFS(Vendas!F:F,Vendas!E:E,12,Vendas!R:R,Clientes!C69)</f>
        <v>430</v>
      </c>
    </row>
    <row r="70" spans="3:24" ht="21.9" customHeight="1" x14ac:dyDescent="0.3">
      <c r="C70" s="24" t="s">
        <v>419</v>
      </c>
      <c r="D70" s="61" t="s">
        <v>491</v>
      </c>
      <c r="E70" s="24" t="s">
        <v>420</v>
      </c>
      <c r="F70" s="62" t="s">
        <v>421</v>
      </c>
      <c r="G70" s="62" t="s">
        <v>422</v>
      </c>
      <c r="H70" s="24" t="s">
        <v>113</v>
      </c>
      <c r="I70" s="26" t="s">
        <v>423</v>
      </c>
      <c r="J70" s="64" t="s">
        <v>424</v>
      </c>
      <c r="K70" s="65">
        <f>COUNTIF(Vendas!R:R,Clientes!C70)</f>
        <v>6</v>
      </c>
      <c r="L70" s="66">
        <f>SUMIF(Vendas!R:R,Clientes!C70,Vendas!F:F)</f>
        <v>3652</v>
      </c>
      <c r="M70" s="66">
        <f>SUMIFS(Vendas!F:F,Vendas!E:E,1,Vendas!R:R,Clientes!C70)</f>
        <v>0</v>
      </c>
      <c r="N70" s="66">
        <f>SUMIFS(Vendas!F:F,Vendas!E:E,2,Vendas!R:R,Clientes!C70)</f>
        <v>0</v>
      </c>
      <c r="O70" s="66">
        <f>SUMIFS(Vendas!F:F,Vendas!E:E,3,Vendas!R:R,Clientes!C70)</f>
        <v>0</v>
      </c>
      <c r="P70" s="66">
        <f>SUMIFS(Vendas!F:F,Vendas!E:E,4,Vendas!R:R,Clientes!C70)</f>
        <v>1450</v>
      </c>
      <c r="Q70" s="66">
        <f>SUMIFS(Vendas!F:F,Vendas!E:E,5,Vendas!R:R,Clientes!C70)</f>
        <v>500</v>
      </c>
      <c r="R70" s="66">
        <f>SUMIFS(Vendas!F:F,Vendas!E:E,6,Vendas!R:R,Clientes!C70)</f>
        <v>0</v>
      </c>
      <c r="S70" s="66">
        <f>SUMIFS(Vendas!F:F,Vendas!E:E,7,Vendas!R:R,Clientes!C70)</f>
        <v>152</v>
      </c>
      <c r="T70" s="66">
        <f>SUMIFS(Vendas!F:F,Vendas!E:E,8,Vendas!R:R,Clientes!C70)</f>
        <v>0</v>
      </c>
      <c r="U70" s="66">
        <f>SUMIFS(Vendas!F:F,Vendas!E:E,9,Vendas!R:R,Clientes!C70)</f>
        <v>1550</v>
      </c>
      <c r="V70" s="66">
        <f>SUMIFS(Vendas!F:F,Vendas!E:E,10,Vendas!R:R,Clientes!C70)</f>
        <v>0</v>
      </c>
      <c r="W70" s="66">
        <f>SUMIFS(Vendas!F:F,Vendas!E:E,11,Vendas!R:R,Clientes!C70)</f>
        <v>0</v>
      </c>
      <c r="X70" s="66">
        <f>SUMIFS(Vendas!F:F,Vendas!E:E,12,Vendas!R:R,Clientes!C70)</f>
        <v>0</v>
      </c>
    </row>
    <row r="71" spans="3:24" ht="21.9" customHeight="1" x14ac:dyDescent="0.3">
      <c r="C71" s="24" t="s">
        <v>425</v>
      </c>
      <c r="D71" s="61" t="s">
        <v>492</v>
      </c>
      <c r="E71" s="24" t="s">
        <v>426</v>
      </c>
      <c r="F71" s="62" t="s">
        <v>427</v>
      </c>
      <c r="G71" s="62" t="s">
        <v>428</v>
      </c>
      <c r="H71" s="24" t="s">
        <v>113</v>
      </c>
      <c r="I71" s="26" t="s">
        <v>429</v>
      </c>
      <c r="J71" s="64" t="s">
        <v>430</v>
      </c>
      <c r="K71" s="65">
        <f>COUNTIF(Vendas!R:R,Clientes!C71)</f>
        <v>12</v>
      </c>
      <c r="L71" s="66">
        <f>SUMIF(Vendas!R:R,Clientes!C71,Vendas!F:F)</f>
        <v>6885</v>
      </c>
      <c r="M71" s="66">
        <f>SUMIFS(Vendas!F:F,Vendas!E:E,1,Vendas!R:R,Clientes!C71)</f>
        <v>0</v>
      </c>
      <c r="N71" s="66">
        <f>SUMIFS(Vendas!F:F,Vendas!E:E,2,Vendas!R:R,Clientes!C71)</f>
        <v>1500</v>
      </c>
      <c r="O71" s="66">
        <f>SUMIFS(Vendas!F:F,Vendas!E:E,3,Vendas!R:R,Clientes!C71)</f>
        <v>30</v>
      </c>
      <c r="P71" s="66">
        <f>SUMIFS(Vendas!F:F,Vendas!E:E,4,Vendas!R:R,Clientes!C71)</f>
        <v>2400</v>
      </c>
      <c r="Q71" s="66">
        <f>SUMIFS(Vendas!F:F,Vendas!E:E,5,Vendas!R:R,Clientes!C71)</f>
        <v>0</v>
      </c>
      <c r="R71" s="66">
        <f>SUMIFS(Vendas!F:F,Vendas!E:E,6,Vendas!R:R,Clientes!C71)</f>
        <v>0</v>
      </c>
      <c r="S71" s="66">
        <f>SUMIFS(Vendas!F:F,Vendas!E:E,7,Vendas!R:R,Clientes!C71)</f>
        <v>510</v>
      </c>
      <c r="T71" s="66">
        <f>SUMIFS(Vendas!F:F,Vendas!E:E,8,Vendas!R:R,Clientes!C71)</f>
        <v>630</v>
      </c>
      <c r="U71" s="66">
        <f>SUMIFS(Vendas!F:F,Vendas!E:E,9,Vendas!R:R,Clientes!C71)</f>
        <v>100</v>
      </c>
      <c r="V71" s="66">
        <f>SUMIFS(Vendas!F:F,Vendas!E:E,10,Vendas!R:R,Clientes!C71)</f>
        <v>80</v>
      </c>
      <c r="W71" s="66">
        <f>SUMIFS(Vendas!F:F,Vendas!E:E,11,Vendas!R:R,Clientes!C71)</f>
        <v>1635</v>
      </c>
      <c r="X71" s="66">
        <f>SUMIFS(Vendas!F:F,Vendas!E:E,12,Vendas!R:R,Clientes!C71)</f>
        <v>0</v>
      </c>
    </row>
    <row r="72" spans="3:24" ht="21.9" customHeight="1" x14ac:dyDescent="0.3">
      <c r="C72" s="24" t="s">
        <v>431</v>
      </c>
      <c r="D72" s="61" t="s">
        <v>493</v>
      </c>
      <c r="E72" s="24" t="s">
        <v>432</v>
      </c>
      <c r="F72" s="62" t="s">
        <v>433</v>
      </c>
      <c r="G72" s="62" t="s">
        <v>434</v>
      </c>
      <c r="H72" s="24" t="s">
        <v>113</v>
      </c>
      <c r="I72" s="26" t="s">
        <v>435</v>
      </c>
      <c r="J72" s="64" t="s">
        <v>436</v>
      </c>
      <c r="K72" s="65">
        <f>COUNTIF(Vendas!R:R,Clientes!C72)</f>
        <v>16</v>
      </c>
      <c r="L72" s="66">
        <f>SUMIF(Vendas!R:R,Clientes!C72,Vendas!F:F)</f>
        <v>19872</v>
      </c>
      <c r="M72" s="66">
        <f>SUMIFS(Vendas!F:F,Vendas!E:E,1,Vendas!R:R,Clientes!C72)</f>
        <v>76</v>
      </c>
      <c r="N72" s="66">
        <f>SUMIFS(Vendas!F:F,Vendas!E:E,2,Vendas!R:R,Clientes!C72)</f>
        <v>5600</v>
      </c>
      <c r="O72" s="66">
        <f>SUMIFS(Vendas!F:F,Vendas!E:E,3,Vendas!R:R,Clientes!C72)</f>
        <v>1200</v>
      </c>
      <c r="P72" s="66">
        <f>SUMIFS(Vendas!F:F,Vendas!E:E,4,Vendas!R:R,Clientes!C72)</f>
        <v>3760</v>
      </c>
      <c r="Q72" s="66">
        <f>SUMIFS(Vendas!F:F,Vendas!E:E,5,Vendas!R:R,Clientes!C72)</f>
        <v>0</v>
      </c>
      <c r="R72" s="66">
        <f>SUMIFS(Vendas!F:F,Vendas!E:E,6,Vendas!R:R,Clientes!C72)</f>
        <v>0</v>
      </c>
      <c r="S72" s="66">
        <f>SUMIFS(Vendas!F:F,Vendas!E:E,7,Vendas!R:R,Clientes!C72)</f>
        <v>300</v>
      </c>
      <c r="T72" s="66">
        <f>SUMIFS(Vendas!F:F,Vendas!E:E,8,Vendas!R:R,Clientes!C72)</f>
        <v>70</v>
      </c>
      <c r="U72" s="66">
        <f>SUMIFS(Vendas!F:F,Vendas!E:E,9,Vendas!R:R,Clientes!C72)</f>
        <v>4876</v>
      </c>
      <c r="V72" s="66">
        <f>SUMIFS(Vendas!F:F,Vendas!E:E,10,Vendas!R:R,Clientes!C72)</f>
        <v>590</v>
      </c>
      <c r="W72" s="66">
        <f>SUMIFS(Vendas!F:F,Vendas!E:E,11,Vendas!R:R,Clientes!C72)</f>
        <v>1600</v>
      </c>
      <c r="X72" s="66">
        <f>SUMIFS(Vendas!F:F,Vendas!E:E,12,Vendas!R:R,Clientes!C72)</f>
        <v>1800</v>
      </c>
    </row>
    <row r="73" spans="3:24" ht="21.9" customHeight="1" x14ac:dyDescent="0.3">
      <c r="C73" s="24" t="s">
        <v>437</v>
      </c>
      <c r="D73" s="61" t="s">
        <v>494</v>
      </c>
      <c r="E73" s="24" t="s">
        <v>438</v>
      </c>
      <c r="F73" s="62" t="s">
        <v>439</v>
      </c>
      <c r="G73" s="62" t="s">
        <v>262</v>
      </c>
      <c r="H73" s="24" t="s">
        <v>113</v>
      </c>
      <c r="I73" s="26" t="s">
        <v>440</v>
      </c>
      <c r="J73" s="64" t="s">
        <v>441</v>
      </c>
      <c r="K73" s="65">
        <f>COUNTIF(Vendas!R:R,Clientes!C73)</f>
        <v>16</v>
      </c>
      <c r="L73" s="66">
        <f>SUMIF(Vendas!R:R,Clientes!C73,Vendas!F:F)</f>
        <v>9393</v>
      </c>
      <c r="M73" s="66">
        <f>SUMIFS(Vendas!F:F,Vendas!E:E,1,Vendas!R:R,Clientes!C73)</f>
        <v>1280</v>
      </c>
      <c r="N73" s="66">
        <f>SUMIFS(Vendas!F:F,Vendas!E:E,2,Vendas!R:R,Clientes!C73)</f>
        <v>3398</v>
      </c>
      <c r="O73" s="66">
        <f>SUMIFS(Vendas!F:F,Vendas!E:E,3,Vendas!R:R,Clientes!C73)</f>
        <v>185</v>
      </c>
      <c r="P73" s="66">
        <f>SUMIFS(Vendas!F:F,Vendas!E:E,4,Vendas!R:R,Clientes!C73)</f>
        <v>0</v>
      </c>
      <c r="Q73" s="66">
        <f>SUMIFS(Vendas!F:F,Vendas!E:E,5,Vendas!R:R,Clientes!C73)</f>
        <v>80</v>
      </c>
      <c r="R73" s="66">
        <f>SUMIFS(Vendas!F:F,Vendas!E:E,6,Vendas!R:R,Clientes!C73)</f>
        <v>1500</v>
      </c>
      <c r="S73" s="66">
        <f>SUMIFS(Vendas!F:F,Vendas!E:E,7,Vendas!R:R,Clientes!C73)</f>
        <v>600</v>
      </c>
      <c r="T73" s="66">
        <f>SUMIFS(Vendas!F:F,Vendas!E:E,8,Vendas!R:R,Clientes!C73)</f>
        <v>700</v>
      </c>
      <c r="U73" s="66">
        <f>SUMIFS(Vendas!F:F,Vendas!E:E,9,Vendas!R:R,Clientes!C73)</f>
        <v>960</v>
      </c>
      <c r="V73" s="66">
        <f>SUMIFS(Vendas!F:F,Vendas!E:E,10,Vendas!R:R,Clientes!C73)</f>
        <v>0</v>
      </c>
      <c r="W73" s="66">
        <f>SUMIFS(Vendas!F:F,Vendas!E:E,11,Vendas!R:R,Clientes!C73)</f>
        <v>510</v>
      </c>
      <c r="X73" s="66">
        <f>SUMIFS(Vendas!F:F,Vendas!E:E,12,Vendas!R:R,Clientes!C73)</f>
        <v>180</v>
      </c>
    </row>
    <row r="74" spans="3:24" ht="21.9" customHeight="1" x14ac:dyDescent="0.3">
      <c r="C74" s="24" t="s">
        <v>442</v>
      </c>
      <c r="D74" s="61" t="s">
        <v>495</v>
      </c>
      <c r="E74" s="24" t="s">
        <v>443</v>
      </c>
      <c r="F74" s="62" t="s">
        <v>444</v>
      </c>
      <c r="G74" s="62" t="s">
        <v>445</v>
      </c>
      <c r="H74" s="24" t="s">
        <v>113</v>
      </c>
      <c r="I74" s="26" t="s">
        <v>446</v>
      </c>
      <c r="J74" s="64" t="s">
        <v>447</v>
      </c>
      <c r="K74" s="65">
        <f>COUNTIF(Vendas!R:R,Clientes!C74)</f>
        <v>6</v>
      </c>
      <c r="L74" s="66">
        <f>SUMIF(Vendas!R:R,Clientes!C74,Vendas!F:F)</f>
        <v>2878</v>
      </c>
      <c r="M74" s="66">
        <f>SUMIFS(Vendas!F:F,Vendas!E:E,1,Vendas!R:R,Clientes!C74)</f>
        <v>0</v>
      </c>
      <c r="N74" s="66">
        <f>SUMIFS(Vendas!F:F,Vendas!E:E,2,Vendas!R:R,Clientes!C74)</f>
        <v>0</v>
      </c>
      <c r="O74" s="66">
        <f>SUMIFS(Vendas!F:F,Vendas!E:E,3,Vendas!R:R,Clientes!C74)</f>
        <v>0</v>
      </c>
      <c r="P74" s="66">
        <f>SUMIFS(Vendas!F:F,Vendas!E:E,4,Vendas!R:R,Clientes!C74)</f>
        <v>0</v>
      </c>
      <c r="Q74" s="66">
        <f>SUMIFS(Vendas!F:F,Vendas!E:E,5,Vendas!R:R,Clientes!C74)</f>
        <v>418</v>
      </c>
      <c r="R74" s="66">
        <f>SUMIFS(Vendas!F:F,Vendas!E:E,6,Vendas!R:R,Clientes!C74)</f>
        <v>1260</v>
      </c>
      <c r="S74" s="66">
        <f>SUMIFS(Vendas!F:F,Vendas!E:E,7,Vendas!R:R,Clientes!C74)</f>
        <v>1200</v>
      </c>
      <c r="T74" s="66">
        <f>SUMIFS(Vendas!F:F,Vendas!E:E,8,Vendas!R:R,Clientes!C74)</f>
        <v>0</v>
      </c>
      <c r="U74" s="66">
        <f>SUMIFS(Vendas!F:F,Vendas!E:E,9,Vendas!R:R,Clientes!C74)</f>
        <v>0</v>
      </c>
      <c r="V74" s="66">
        <f>SUMIFS(Vendas!F:F,Vendas!E:E,10,Vendas!R:R,Clientes!C74)</f>
        <v>0</v>
      </c>
      <c r="W74" s="66">
        <f>SUMIFS(Vendas!F:F,Vendas!E:E,11,Vendas!R:R,Clientes!C74)</f>
        <v>0</v>
      </c>
      <c r="X74" s="66">
        <f>SUMIFS(Vendas!F:F,Vendas!E:E,12,Vendas!R:R,Clientes!C74)</f>
        <v>0</v>
      </c>
    </row>
    <row r="75" spans="3:24" ht="21.9" customHeight="1" x14ac:dyDescent="0.3">
      <c r="C75" s="24" t="s">
        <v>448</v>
      </c>
      <c r="D75" s="61" t="s">
        <v>496</v>
      </c>
      <c r="E75" s="24" t="s">
        <v>449</v>
      </c>
      <c r="F75" s="62" t="s">
        <v>450</v>
      </c>
      <c r="G75" s="62" t="s">
        <v>451</v>
      </c>
      <c r="H75" s="24" t="s">
        <v>113</v>
      </c>
      <c r="I75" s="26" t="s">
        <v>452</v>
      </c>
      <c r="J75" s="64" t="s">
        <v>453</v>
      </c>
      <c r="K75" s="65">
        <f>COUNTIF(Vendas!R:R,Clientes!C75)</f>
        <v>10</v>
      </c>
      <c r="L75" s="66">
        <f>SUMIF(Vendas!R:R,Clientes!C75,Vendas!F:F)</f>
        <v>7740</v>
      </c>
      <c r="M75" s="66">
        <f>SUMIFS(Vendas!F:F,Vendas!E:E,1,Vendas!R:R,Clientes!C75)</f>
        <v>0</v>
      </c>
      <c r="N75" s="66">
        <f>SUMIFS(Vendas!F:F,Vendas!E:E,2,Vendas!R:R,Clientes!C75)</f>
        <v>1050</v>
      </c>
      <c r="O75" s="66">
        <f>SUMIFS(Vendas!F:F,Vendas!E:E,3,Vendas!R:R,Clientes!C75)</f>
        <v>2700</v>
      </c>
      <c r="P75" s="66">
        <f>SUMIFS(Vendas!F:F,Vendas!E:E,4,Vendas!R:R,Clientes!C75)</f>
        <v>1290</v>
      </c>
      <c r="Q75" s="66">
        <f>SUMIFS(Vendas!F:F,Vendas!E:E,5,Vendas!R:R,Clientes!C75)</f>
        <v>90</v>
      </c>
      <c r="R75" s="66">
        <f>SUMIFS(Vendas!F:F,Vendas!E:E,6,Vendas!R:R,Clientes!C75)</f>
        <v>1040</v>
      </c>
      <c r="S75" s="66">
        <f>SUMIFS(Vendas!F:F,Vendas!E:E,7,Vendas!R:R,Clientes!C75)</f>
        <v>0</v>
      </c>
      <c r="T75" s="66">
        <f>SUMIFS(Vendas!F:F,Vendas!E:E,8,Vendas!R:R,Clientes!C75)</f>
        <v>0</v>
      </c>
      <c r="U75" s="66">
        <f>SUMIFS(Vendas!F:F,Vendas!E:E,9,Vendas!R:R,Clientes!C75)</f>
        <v>770</v>
      </c>
      <c r="V75" s="66">
        <f>SUMIFS(Vendas!F:F,Vendas!E:E,10,Vendas!R:R,Clientes!C75)</f>
        <v>0</v>
      </c>
      <c r="W75" s="66">
        <f>SUMIFS(Vendas!F:F,Vendas!E:E,11,Vendas!R:R,Clientes!C75)</f>
        <v>0</v>
      </c>
      <c r="X75" s="66">
        <f>SUMIFS(Vendas!F:F,Vendas!E:E,12,Vendas!R:R,Clientes!C75)</f>
        <v>800</v>
      </c>
    </row>
    <row r="76" spans="3:24" ht="21.9" customHeight="1" x14ac:dyDescent="0.3">
      <c r="C76" s="24" t="s">
        <v>454</v>
      </c>
      <c r="D76" s="61" t="s">
        <v>497</v>
      </c>
      <c r="E76" s="24" t="s">
        <v>455</v>
      </c>
      <c r="F76" s="62" t="s">
        <v>456</v>
      </c>
      <c r="G76" s="62" t="s">
        <v>253</v>
      </c>
      <c r="H76" s="24" t="s">
        <v>113</v>
      </c>
      <c r="I76" s="26" t="s">
        <v>457</v>
      </c>
      <c r="J76" s="64" t="s">
        <v>458</v>
      </c>
      <c r="K76" s="65">
        <f>COUNTIF(Vendas!R:R,Clientes!C76)</f>
        <v>10</v>
      </c>
      <c r="L76" s="66">
        <f>SUMIF(Vendas!R:R,Clientes!C76,Vendas!F:F)</f>
        <v>9630</v>
      </c>
      <c r="M76" s="66">
        <f>SUMIFS(Vendas!F:F,Vendas!E:E,1,Vendas!R:R,Clientes!C76)</f>
        <v>510</v>
      </c>
      <c r="N76" s="66">
        <f>SUMIFS(Vendas!F:F,Vendas!E:E,2,Vendas!R:R,Clientes!C76)</f>
        <v>3000</v>
      </c>
      <c r="O76" s="66">
        <f>SUMIFS(Vendas!F:F,Vendas!E:E,3,Vendas!R:R,Clientes!C76)</f>
        <v>1800</v>
      </c>
      <c r="P76" s="66">
        <f>SUMIFS(Vendas!F:F,Vendas!E:E,4,Vendas!R:R,Clientes!C76)</f>
        <v>270</v>
      </c>
      <c r="Q76" s="66">
        <f>SUMIFS(Vendas!F:F,Vendas!E:E,5,Vendas!R:R,Clientes!C76)</f>
        <v>0</v>
      </c>
      <c r="R76" s="66">
        <f>SUMIFS(Vendas!F:F,Vendas!E:E,6,Vendas!R:R,Clientes!C76)</f>
        <v>0</v>
      </c>
      <c r="S76" s="66">
        <f>SUMIFS(Vendas!F:F,Vendas!E:E,7,Vendas!R:R,Clientes!C76)</f>
        <v>0</v>
      </c>
      <c r="T76" s="66">
        <f>SUMIFS(Vendas!F:F,Vendas!E:E,8,Vendas!R:R,Clientes!C76)</f>
        <v>2100</v>
      </c>
      <c r="U76" s="66">
        <f>SUMIFS(Vendas!F:F,Vendas!E:E,9,Vendas!R:R,Clientes!C76)</f>
        <v>1500</v>
      </c>
      <c r="V76" s="66">
        <f>SUMIFS(Vendas!F:F,Vendas!E:E,10,Vendas!R:R,Clientes!C76)</f>
        <v>0</v>
      </c>
      <c r="W76" s="66">
        <f>SUMIFS(Vendas!F:F,Vendas!E:E,11,Vendas!R:R,Clientes!C76)</f>
        <v>180</v>
      </c>
      <c r="X76" s="66">
        <f>SUMIFS(Vendas!F:F,Vendas!E:E,12,Vendas!R:R,Clientes!C76)</f>
        <v>270</v>
      </c>
    </row>
    <row r="77" spans="3:24" ht="21.9" customHeight="1" x14ac:dyDescent="0.3">
      <c r="C77" s="24" t="s">
        <v>459</v>
      </c>
      <c r="D77" s="61" t="s">
        <v>498</v>
      </c>
      <c r="E77" s="24" t="s">
        <v>460</v>
      </c>
      <c r="F77" s="62" t="s">
        <v>461</v>
      </c>
      <c r="G77" s="62" t="s">
        <v>462</v>
      </c>
      <c r="H77" s="24" t="s">
        <v>113</v>
      </c>
      <c r="I77" s="26" t="s">
        <v>463</v>
      </c>
      <c r="J77" s="64" t="s">
        <v>464</v>
      </c>
      <c r="K77" s="65">
        <f>COUNTIF(Vendas!R:R,Clientes!C77)</f>
        <v>9</v>
      </c>
      <c r="L77" s="66">
        <f>SUMIF(Vendas!R:R,Clientes!C77,Vendas!F:F)</f>
        <v>11961</v>
      </c>
      <c r="M77" s="66">
        <f>SUMIFS(Vendas!F:F,Vendas!E:E,1,Vendas!R:R,Clientes!C77)</f>
        <v>0</v>
      </c>
      <c r="N77" s="66">
        <f>SUMIFS(Vendas!F:F,Vendas!E:E,2,Vendas!R:R,Clientes!C77)</f>
        <v>0</v>
      </c>
      <c r="O77" s="66">
        <f>SUMIFS(Vendas!F:F,Vendas!E:E,3,Vendas!R:R,Clientes!C77)</f>
        <v>76</v>
      </c>
      <c r="P77" s="66">
        <f>SUMIFS(Vendas!F:F,Vendas!E:E,4,Vendas!R:R,Clientes!C77)</f>
        <v>0</v>
      </c>
      <c r="Q77" s="66">
        <f>SUMIFS(Vendas!F:F,Vendas!E:E,5,Vendas!R:R,Clientes!C77)</f>
        <v>1550</v>
      </c>
      <c r="R77" s="66">
        <f>SUMIFS(Vendas!F:F,Vendas!E:E,6,Vendas!R:R,Clientes!C77)</f>
        <v>5600</v>
      </c>
      <c r="S77" s="66">
        <f>SUMIFS(Vendas!F:F,Vendas!E:E,7,Vendas!R:R,Clientes!C77)</f>
        <v>0</v>
      </c>
      <c r="T77" s="66">
        <f>SUMIFS(Vendas!F:F,Vendas!E:E,8,Vendas!R:R,Clientes!C77)</f>
        <v>1685</v>
      </c>
      <c r="U77" s="66">
        <f>SUMIFS(Vendas!F:F,Vendas!E:E,9,Vendas!R:R,Clientes!C77)</f>
        <v>0</v>
      </c>
      <c r="V77" s="66">
        <f>SUMIFS(Vendas!F:F,Vendas!E:E,10,Vendas!R:R,Clientes!C77)</f>
        <v>2700</v>
      </c>
      <c r="W77" s="66">
        <f>SUMIFS(Vendas!F:F,Vendas!E:E,11,Vendas!R:R,Clientes!C77)</f>
        <v>350</v>
      </c>
      <c r="X77" s="66">
        <f>SUMIFS(Vendas!F:F,Vendas!E:E,12,Vendas!R:R,Clientes!C77)</f>
        <v>0</v>
      </c>
    </row>
    <row r="78" spans="3:24" ht="21.9" customHeight="1" x14ac:dyDescent="0.3">
      <c r="C78" s="24" t="s">
        <v>465</v>
      </c>
      <c r="D78" s="61" t="s">
        <v>499</v>
      </c>
      <c r="E78" s="24" t="s">
        <v>466</v>
      </c>
      <c r="F78" s="62" t="s">
        <v>467</v>
      </c>
      <c r="G78" s="62" t="s">
        <v>249</v>
      </c>
      <c r="H78" s="24" t="s">
        <v>113</v>
      </c>
      <c r="I78" s="26" t="s">
        <v>468</v>
      </c>
      <c r="J78" s="64" t="s">
        <v>469</v>
      </c>
      <c r="K78" s="65">
        <f>COUNTIF(Vendas!R:R,Clientes!C78)</f>
        <v>13</v>
      </c>
      <c r="L78" s="66">
        <f>SUMIF(Vendas!R:R,Clientes!C78,Vendas!F:F)</f>
        <v>12046</v>
      </c>
      <c r="M78" s="66">
        <f>SUMIFS(Vendas!F:F,Vendas!E:E,1,Vendas!R:R,Clientes!C78)</f>
        <v>240</v>
      </c>
      <c r="N78" s="66">
        <f>SUMIFS(Vendas!F:F,Vendas!E:E,2,Vendas!R:R,Clientes!C78)</f>
        <v>340</v>
      </c>
      <c r="O78" s="66">
        <f>SUMIFS(Vendas!F:F,Vendas!E:E,3,Vendas!R:R,Clientes!C78)</f>
        <v>0</v>
      </c>
      <c r="P78" s="66">
        <f>SUMIFS(Vendas!F:F,Vendas!E:E,4,Vendas!R:R,Clientes!C78)</f>
        <v>976</v>
      </c>
      <c r="Q78" s="66">
        <f>SUMIFS(Vendas!F:F,Vendas!E:E,5,Vendas!R:R,Clientes!C78)</f>
        <v>0</v>
      </c>
      <c r="R78" s="66">
        <f>SUMIFS(Vendas!F:F,Vendas!E:E,6,Vendas!R:R,Clientes!C78)</f>
        <v>2200</v>
      </c>
      <c r="S78" s="66">
        <f>SUMIFS(Vendas!F:F,Vendas!E:E,7,Vendas!R:R,Clientes!C78)</f>
        <v>0</v>
      </c>
      <c r="T78" s="66">
        <f>SUMIFS(Vendas!F:F,Vendas!E:E,8,Vendas!R:R,Clientes!C78)</f>
        <v>180</v>
      </c>
      <c r="U78" s="66">
        <f>SUMIFS(Vendas!F:F,Vendas!E:E,9,Vendas!R:R,Clientes!C78)</f>
        <v>80</v>
      </c>
      <c r="V78" s="66">
        <f>SUMIFS(Vendas!F:F,Vendas!E:E,10,Vendas!R:R,Clientes!C78)</f>
        <v>0</v>
      </c>
      <c r="W78" s="66">
        <f>SUMIFS(Vendas!F:F,Vendas!E:E,11,Vendas!R:R,Clientes!C78)</f>
        <v>7500</v>
      </c>
      <c r="X78" s="66">
        <f>SUMIFS(Vendas!F:F,Vendas!E:E,12,Vendas!R:R,Clientes!C78)</f>
        <v>530</v>
      </c>
    </row>
    <row r="79" spans="3:24" ht="21.9" customHeight="1" x14ac:dyDescent="0.3">
      <c r="C79" s="24" t="s">
        <v>470</v>
      </c>
      <c r="D79" s="61" t="s">
        <v>500</v>
      </c>
      <c r="E79" s="24" t="s">
        <v>471</v>
      </c>
      <c r="F79" s="62" t="s">
        <v>472</v>
      </c>
      <c r="G79" s="62" t="s">
        <v>473</v>
      </c>
      <c r="H79" s="24" t="s">
        <v>113</v>
      </c>
      <c r="I79" s="26" t="s">
        <v>474</v>
      </c>
      <c r="J79" s="64" t="s">
        <v>475</v>
      </c>
      <c r="K79" s="65">
        <f>COUNTIF(Vendas!R:R,Clientes!C79)</f>
        <v>9</v>
      </c>
      <c r="L79" s="66">
        <f>SUMIF(Vendas!R:R,Clientes!C79,Vendas!F:F)</f>
        <v>3080</v>
      </c>
      <c r="M79" s="66">
        <f>SUMIFS(Vendas!F:F,Vendas!E:E,1,Vendas!R:R,Clientes!C79)</f>
        <v>800</v>
      </c>
      <c r="N79" s="66">
        <f>SUMIFS(Vendas!F:F,Vendas!E:E,2,Vendas!R:R,Clientes!C79)</f>
        <v>700</v>
      </c>
      <c r="O79" s="66">
        <f>SUMIFS(Vendas!F:F,Vendas!E:E,3,Vendas!R:R,Clientes!C79)</f>
        <v>180</v>
      </c>
      <c r="P79" s="66">
        <f>SUMIFS(Vendas!F:F,Vendas!E:E,4,Vendas!R:R,Clientes!C79)</f>
        <v>0</v>
      </c>
      <c r="Q79" s="66">
        <f>SUMIFS(Vendas!F:F,Vendas!E:E,5,Vendas!R:R,Clientes!C79)</f>
        <v>0</v>
      </c>
      <c r="R79" s="66">
        <f>SUMIFS(Vendas!F:F,Vendas!E:E,6,Vendas!R:R,Clientes!C79)</f>
        <v>0</v>
      </c>
      <c r="S79" s="66">
        <f>SUMIFS(Vendas!F:F,Vendas!E:E,7,Vendas!R:R,Clientes!C79)</f>
        <v>500</v>
      </c>
      <c r="T79" s="66">
        <f>SUMIFS(Vendas!F:F,Vendas!E:E,8,Vendas!R:R,Clientes!C79)</f>
        <v>40</v>
      </c>
      <c r="U79" s="66">
        <f>SUMIFS(Vendas!F:F,Vendas!E:E,9,Vendas!R:R,Clientes!C79)</f>
        <v>500</v>
      </c>
      <c r="V79" s="66">
        <f>SUMIFS(Vendas!F:F,Vendas!E:E,10,Vendas!R:R,Clientes!C79)</f>
        <v>0</v>
      </c>
      <c r="W79" s="66">
        <f>SUMIFS(Vendas!F:F,Vendas!E:E,11,Vendas!R:R,Clientes!C79)</f>
        <v>360</v>
      </c>
      <c r="X79" s="66">
        <f>SUMIFS(Vendas!F:F,Vendas!E:E,12,Vendas!R:R,Clientes!C79)</f>
        <v>0</v>
      </c>
    </row>
    <row r="80" spans="3:24" ht="21.75" customHeight="1" x14ac:dyDescent="0.3">
      <c r="C80" s="24" t="s">
        <v>476</v>
      </c>
      <c r="D80" s="61" t="s">
        <v>477</v>
      </c>
      <c r="E80" s="24" t="s">
        <v>478</v>
      </c>
      <c r="F80" s="62" t="s">
        <v>479</v>
      </c>
      <c r="G80" s="62" t="s">
        <v>253</v>
      </c>
      <c r="H80" s="24" t="s">
        <v>113</v>
      </c>
      <c r="I80" s="26" t="s">
        <v>480</v>
      </c>
      <c r="J80" s="64" t="s">
        <v>502</v>
      </c>
      <c r="K80" s="65">
        <f>COUNTIF(Vendas!R:R,Clientes!C80)</f>
        <v>10</v>
      </c>
      <c r="L80" s="66">
        <f>SUMIF(Vendas!R:R,Clientes!C80,Vendas!F:F)</f>
        <v>7865</v>
      </c>
      <c r="M80" s="66">
        <f>SUMIFS(Vendas!F:F,Vendas!E:E,1,Vendas!R:R,Clientes!C80)</f>
        <v>3200</v>
      </c>
      <c r="N80" s="66">
        <f>SUMIFS(Vendas!F:F,Vendas!E:E,2,Vendas!R:R,Clientes!C80)</f>
        <v>0</v>
      </c>
      <c r="O80" s="66">
        <f>SUMIFS(Vendas!F:F,Vendas!E:E,3,Vendas!R:R,Clientes!C80)</f>
        <v>0</v>
      </c>
      <c r="P80" s="66">
        <f>SUMIFS(Vendas!F:F,Vendas!E:E,4,Vendas!R:R,Clientes!C80)</f>
        <v>60</v>
      </c>
      <c r="Q80" s="66">
        <f>SUMIFS(Vendas!F:F,Vendas!E:E,5,Vendas!R:R,Clientes!C80)</f>
        <v>2980</v>
      </c>
      <c r="R80" s="66">
        <f>SUMIFS(Vendas!F:F,Vendas!E:E,6,Vendas!R:R,Clientes!C80)</f>
        <v>35</v>
      </c>
      <c r="S80" s="66">
        <f>SUMIFS(Vendas!F:F,Vendas!E:E,7,Vendas!R:R,Clientes!C80)</f>
        <v>30</v>
      </c>
      <c r="T80" s="66">
        <f>SUMIFS(Vendas!F:F,Vendas!E:E,8,Vendas!R:R,Clientes!C80)</f>
        <v>400</v>
      </c>
      <c r="U80" s="66">
        <f>SUMIFS(Vendas!F:F,Vendas!E:E,9,Vendas!R:R,Clientes!C80)</f>
        <v>800</v>
      </c>
      <c r="V80" s="66">
        <f>SUMIFS(Vendas!F:F,Vendas!E:E,10,Vendas!R:R,Clientes!C80)</f>
        <v>120</v>
      </c>
      <c r="W80" s="66">
        <f>SUMIFS(Vendas!F:F,Vendas!E:E,11,Vendas!R:R,Clientes!C80)</f>
        <v>0</v>
      </c>
      <c r="X80" s="66">
        <f>SUMIFS(Vendas!F:F,Vendas!E:E,12,Vendas!R:R,Clientes!C80)</f>
        <v>240</v>
      </c>
    </row>
    <row r="81" spans="3:24" ht="21.9" customHeight="1" x14ac:dyDescent="0.3">
      <c r="C81" s="63" t="s">
        <v>481</v>
      </c>
      <c r="D81" s="61" t="s">
        <v>501</v>
      </c>
      <c r="E81" s="24" t="s">
        <v>482</v>
      </c>
      <c r="F81" s="25" t="s">
        <v>318</v>
      </c>
      <c r="G81" s="25" t="s">
        <v>49</v>
      </c>
      <c r="H81" s="24" t="s">
        <v>115</v>
      </c>
      <c r="I81" s="26" t="s">
        <v>483</v>
      </c>
      <c r="J81" s="64" t="s">
        <v>484</v>
      </c>
      <c r="K81" s="65">
        <f>COUNTIF(Vendas!R:R,Clientes!C81)</f>
        <v>10</v>
      </c>
      <c r="L81" s="66">
        <f>SUMIF(Vendas!R:R,Clientes!C81,Vendas!F:F)</f>
        <v>9450</v>
      </c>
      <c r="M81" s="66">
        <f>SUMIFS(Vendas!F:F,Vendas!E:E,1,Vendas!R:R,Clientes!C81)</f>
        <v>0</v>
      </c>
      <c r="N81" s="66">
        <f>SUMIFS(Vendas!F:F,Vendas!E:E,2,Vendas!R:R,Clientes!C81)</f>
        <v>810</v>
      </c>
      <c r="O81" s="66">
        <f>SUMIFS(Vendas!F:F,Vendas!E:E,3,Vendas!R:R,Clientes!C81)</f>
        <v>3310</v>
      </c>
      <c r="P81" s="66">
        <f>SUMIFS(Vendas!F:F,Vendas!E:E,4,Vendas!R:R,Clientes!C81)</f>
        <v>180</v>
      </c>
      <c r="Q81" s="66">
        <f>SUMIFS(Vendas!F:F,Vendas!E:E,5,Vendas!R:R,Clientes!C81)</f>
        <v>0</v>
      </c>
      <c r="R81" s="66">
        <f>SUMIFS(Vendas!F:F,Vendas!E:E,6,Vendas!R:R,Clientes!C81)</f>
        <v>0</v>
      </c>
      <c r="S81" s="66">
        <f>SUMIFS(Vendas!F:F,Vendas!E:E,7,Vendas!R:R,Clientes!C81)</f>
        <v>0</v>
      </c>
      <c r="T81" s="66">
        <f>SUMIFS(Vendas!F:F,Vendas!E:E,8,Vendas!R:R,Clientes!C81)</f>
        <v>0</v>
      </c>
      <c r="U81" s="66">
        <f>SUMIFS(Vendas!F:F,Vendas!E:E,9,Vendas!R:R,Clientes!C81)</f>
        <v>2900</v>
      </c>
      <c r="V81" s="66">
        <f>SUMIFS(Vendas!F:F,Vendas!E:E,10,Vendas!R:R,Clientes!C81)</f>
        <v>1100</v>
      </c>
      <c r="W81" s="66">
        <f>SUMIFS(Vendas!F:F,Vendas!E:E,11,Vendas!R:R,Clientes!C81)</f>
        <v>0</v>
      </c>
      <c r="X81" s="66">
        <f>SUMIFS(Vendas!F:F,Vendas!E:E,12,Vendas!R:R,Clientes!C81)</f>
        <v>1150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AK42"/>
  <sheetViews>
    <sheetView zoomScale="85" zoomScaleNormal="85" workbookViewId="0"/>
  </sheetViews>
  <sheetFormatPr defaultRowHeight="21.9" customHeight="1" x14ac:dyDescent="0.3"/>
  <cols>
    <col min="1" max="1" width="57" style="1" customWidth="1"/>
    <col min="2" max="2" width="15.33203125" style="7" customWidth="1"/>
    <col min="3" max="3" width="29.109375" style="13" customWidth="1"/>
    <col min="4" max="7" width="26.88671875" style="7" customWidth="1"/>
    <col min="8" max="8" width="33.44140625" style="7" customWidth="1"/>
    <col min="9" max="9" width="20.6640625" style="7" customWidth="1"/>
    <col min="10" max="10" width="28.44140625" style="7" customWidth="1"/>
    <col min="11" max="11" width="23.44140625" style="7" customWidth="1"/>
    <col min="12" max="12" width="31.5546875" style="7" customWidth="1"/>
    <col min="13" max="13" width="22.88671875" style="10" customWidth="1"/>
    <col min="14" max="14" width="21.33203125" style="11" customWidth="1"/>
    <col min="15" max="15" width="18.44140625" style="11" customWidth="1"/>
    <col min="16" max="16" width="18" style="11" customWidth="1"/>
    <col min="17" max="17" width="16.33203125" style="11" customWidth="1"/>
    <col min="18" max="18" width="16.109375" style="11" customWidth="1"/>
    <col min="19" max="19" width="14.88671875" style="11" customWidth="1"/>
    <col min="20" max="20" width="14.33203125" style="11" customWidth="1"/>
    <col min="21" max="21" width="17.44140625" style="11" customWidth="1"/>
    <col min="22" max="22" width="15.44140625" style="11" customWidth="1"/>
    <col min="23" max="23" width="18.88671875" style="11" customWidth="1"/>
    <col min="24" max="24" width="18.6640625" style="11" customWidth="1"/>
    <col min="25" max="25" width="18.5546875" style="11" customWidth="1"/>
    <col min="26" max="26" width="17.88671875" style="11" customWidth="1"/>
    <col min="27" max="27" width="13.44140625" style="7" bestFit="1" customWidth="1"/>
    <col min="28" max="37" width="9.109375" style="7"/>
  </cols>
  <sheetData>
    <row r="2" spans="3:9" ht="21.9" customHeight="1" x14ac:dyDescent="0.3">
      <c r="C2" s="8"/>
    </row>
    <row r="3" spans="3:9" ht="30" customHeight="1" x14ac:dyDescent="0.7">
      <c r="C3" s="23" t="s">
        <v>237</v>
      </c>
    </row>
    <row r="4" spans="3:9" ht="21.9" customHeight="1" x14ac:dyDescent="0.3">
      <c r="C4" s="12"/>
    </row>
    <row r="5" spans="3:9" ht="21.9" customHeight="1" x14ac:dyDescent="0.3">
      <c r="C5" s="22" t="s">
        <v>233</v>
      </c>
      <c r="I5" s="20"/>
    </row>
    <row r="6" spans="3:9" ht="21.9" customHeight="1" x14ac:dyDescent="0.3">
      <c r="C6" s="47"/>
      <c r="D6" s="16"/>
      <c r="I6" s="20"/>
    </row>
    <row r="7" spans="3:9" ht="21.9" customHeight="1" x14ac:dyDescent="0.3">
      <c r="C7" s="22" t="s">
        <v>234</v>
      </c>
      <c r="I7" s="20"/>
    </row>
    <row r="8" spans="3:9" ht="21.9" customHeight="1" x14ac:dyDescent="0.3">
      <c r="C8" s="47"/>
      <c r="D8" s="16"/>
      <c r="I8" s="20"/>
    </row>
    <row r="9" spans="3:9" ht="21.9" customHeight="1" x14ac:dyDescent="0.3">
      <c r="C9" s="22" t="s">
        <v>236</v>
      </c>
      <c r="I9" s="20"/>
    </row>
    <row r="10" spans="3:9" ht="21.9" customHeight="1" x14ac:dyDescent="0.3">
      <c r="C10" s="47"/>
      <c r="D10" s="16"/>
      <c r="I10" s="20"/>
    </row>
    <row r="11" spans="3:9" ht="21.9" customHeight="1" x14ac:dyDescent="0.3">
      <c r="C11" s="22" t="s">
        <v>235</v>
      </c>
      <c r="I11" s="20"/>
    </row>
    <row r="12" spans="3:9" ht="21.9" customHeight="1" x14ac:dyDescent="0.3">
      <c r="C12" s="50"/>
      <c r="D12" s="16"/>
      <c r="I12" s="20"/>
    </row>
    <row r="13" spans="3:9" ht="21.9" customHeight="1" x14ac:dyDescent="0.3">
      <c r="C13" s="22" t="s">
        <v>20</v>
      </c>
      <c r="I13" s="20"/>
    </row>
    <row r="14" spans="3:9" ht="21.9" customHeight="1" x14ac:dyDescent="0.3">
      <c r="C14" s="48"/>
      <c r="D14" s="16"/>
      <c r="I14" s="20"/>
    </row>
    <row r="15" spans="3:9" ht="21.9" customHeight="1" x14ac:dyDescent="0.3">
      <c r="C15" s="22" t="s">
        <v>4</v>
      </c>
      <c r="I15" s="20"/>
    </row>
    <row r="16" spans="3:9" ht="21.9" customHeight="1" x14ac:dyDescent="0.3">
      <c r="C16" s="47"/>
      <c r="D16" s="16"/>
      <c r="I16" s="20"/>
    </row>
    <row r="17" spans="3:27" ht="21.9" customHeight="1" x14ac:dyDescent="0.3">
      <c r="C17" s="22" t="s">
        <v>5</v>
      </c>
    </row>
    <row r="18" spans="3:27" ht="21.9" customHeight="1" x14ac:dyDescent="0.3">
      <c r="C18" s="47"/>
      <c r="D18" s="16"/>
    </row>
    <row r="19" spans="3:27" ht="21.9" customHeight="1" x14ac:dyDescent="0.3">
      <c r="C19" s="22" t="s">
        <v>111</v>
      </c>
    </row>
    <row r="20" spans="3:27" ht="21.9" customHeight="1" x14ac:dyDescent="0.3">
      <c r="C20" s="47"/>
      <c r="D20" s="16"/>
    </row>
    <row r="21" spans="3:27" ht="21.9" customHeight="1" x14ac:dyDescent="0.3">
      <c r="C21" s="22" t="s">
        <v>6</v>
      </c>
    </row>
    <row r="22" spans="3:27" ht="21.9" customHeight="1" x14ac:dyDescent="0.3">
      <c r="C22" s="48"/>
      <c r="D22" s="16"/>
    </row>
    <row r="23" spans="3:27" ht="21.9" customHeight="1" x14ac:dyDescent="0.3">
      <c r="C23" s="22" t="s">
        <v>22</v>
      </c>
    </row>
    <row r="24" spans="3:27" ht="21.9" customHeight="1" x14ac:dyDescent="0.3">
      <c r="C24" s="56"/>
      <c r="D24" s="16"/>
      <c r="I24" s="21"/>
    </row>
    <row r="25" spans="3:27" ht="21.9" customHeight="1" x14ac:dyDescent="0.3">
      <c r="C25" s="12"/>
    </row>
    <row r="26" spans="3:27" ht="21.9" customHeight="1" x14ac:dyDescent="0.3">
      <c r="C26" s="12"/>
    </row>
    <row r="31" spans="3:27" ht="21.9" customHeight="1" x14ac:dyDescent="0.3">
      <c r="C31" s="2" t="s">
        <v>238</v>
      </c>
      <c r="D31" s="2" t="s">
        <v>234</v>
      </c>
      <c r="E31" s="2" t="s">
        <v>236</v>
      </c>
      <c r="F31" s="2" t="s">
        <v>235</v>
      </c>
      <c r="G31" s="2" t="s">
        <v>20</v>
      </c>
      <c r="H31" s="2" t="s">
        <v>4</v>
      </c>
      <c r="I31" s="2" t="s">
        <v>5</v>
      </c>
      <c r="J31" s="2" t="s">
        <v>111</v>
      </c>
      <c r="K31" s="2" t="s">
        <v>6</v>
      </c>
      <c r="L31" s="2" t="s">
        <v>22</v>
      </c>
      <c r="M31" s="2" t="s">
        <v>21</v>
      </c>
      <c r="N31" s="4" t="s">
        <v>7</v>
      </c>
      <c r="O31" s="4" t="s">
        <v>8</v>
      </c>
      <c r="P31" s="4" t="s">
        <v>9</v>
      </c>
      <c r="Q31" s="4" t="s">
        <v>10</v>
      </c>
      <c r="R31" s="4" t="s">
        <v>11</v>
      </c>
      <c r="S31" s="4" t="s">
        <v>12</v>
      </c>
      <c r="T31" s="4" t="s">
        <v>13</v>
      </c>
      <c r="U31" s="4" t="s">
        <v>14</v>
      </c>
      <c r="V31" s="4" t="s">
        <v>15</v>
      </c>
      <c r="W31" s="4" t="s">
        <v>16</v>
      </c>
      <c r="X31" s="4" t="s">
        <v>17</v>
      </c>
      <c r="Y31" s="4" t="s">
        <v>18</v>
      </c>
      <c r="Z31" s="4" t="s">
        <v>19</v>
      </c>
    </row>
    <row r="32" spans="3:27" ht="21.9" customHeight="1" x14ac:dyDescent="0.3">
      <c r="C32" s="24" t="s">
        <v>380</v>
      </c>
      <c r="D32" s="24" t="s">
        <v>381</v>
      </c>
      <c r="E32" s="24" t="s">
        <v>382</v>
      </c>
      <c r="F32" s="29">
        <v>1200</v>
      </c>
      <c r="G32" s="24" t="s">
        <v>386</v>
      </c>
      <c r="H32" s="25" t="s">
        <v>383</v>
      </c>
      <c r="I32" s="24" t="s">
        <v>46</v>
      </c>
      <c r="J32" s="24" t="s">
        <v>384</v>
      </c>
      <c r="K32" s="24" t="s">
        <v>387</v>
      </c>
      <c r="L32" s="27" t="s">
        <v>385</v>
      </c>
      <c r="M32" s="65">
        <f>COUNTIF(Vendas!N:N,Funcionários!C32)</f>
        <v>57</v>
      </c>
      <c r="N32" s="66">
        <f>SUMIF(Vendas!N:N,Funcionários!C32,Vendas!F:F)</f>
        <v>44576</v>
      </c>
      <c r="O32" s="66">
        <f>SUMIFS(Vendas!F:F,Vendas!E:E,1,Vendas!N:N,Funcionários!C32)</f>
        <v>7610</v>
      </c>
      <c r="P32" s="66">
        <f>SUMIFS(Vendas!F:F,Vendas!E:E,2,Vendas!N:N,Funcionários!C32)</f>
        <v>60</v>
      </c>
      <c r="Q32" s="66">
        <f>SUMIFS(Vendas!F:F,Vendas!E:E,3,Vendas!N:N,Funcionários!C32)</f>
        <v>1600</v>
      </c>
      <c r="R32" s="66">
        <f>SUMIFS(Vendas!F:F,Vendas!E:E,4,Vendas!N:N,Funcionários!C32)</f>
        <v>6928</v>
      </c>
      <c r="S32" s="66">
        <f>SUMIFS(Vendas!F:F,Vendas!E:E,5,Vendas!N:N,Funcionários!C32)</f>
        <v>1440</v>
      </c>
      <c r="T32" s="66">
        <f>SUMIFS(Vendas!F:F,Vendas!E:E,6,Vendas!N:N,Funcionários!C32)</f>
        <v>3545</v>
      </c>
      <c r="U32" s="66">
        <f>SUMIFS(Vendas!F:F,Vendas!E:E,7,Vendas!N:N,Funcionários!C32)</f>
        <v>228</v>
      </c>
      <c r="V32" s="66">
        <f>SUMIFS(Vendas!F:F,Vendas!E:E,8,Vendas!N:N,Funcionários!C32)</f>
        <v>566</v>
      </c>
      <c r="W32" s="66">
        <f>SUMIFS(Vendas!F:F,Vendas!E:E,9,Vendas!N:N,Funcionários!C32)</f>
        <v>7142</v>
      </c>
      <c r="X32" s="66">
        <f>SUMIFS(Vendas!F:F,Vendas!E:E,10,Vendas!N:N,Funcionários!C32)</f>
        <v>3700</v>
      </c>
      <c r="Y32" s="66">
        <f>SUMIFS(Vendas!F:F,Vendas!E:E,11,Vendas!N:N,Funcionários!C32)</f>
        <v>6250</v>
      </c>
      <c r="Z32" s="66">
        <f>SUMIFS(Vendas!F:F,Vendas!E:E,12,Vendas!N:N,Funcionários!C32)</f>
        <v>5507</v>
      </c>
      <c r="AA32" s="28"/>
    </row>
    <row r="33" spans="3:27" ht="21.9" customHeight="1" x14ac:dyDescent="0.3">
      <c r="C33" s="24" t="s">
        <v>77</v>
      </c>
      <c r="D33" s="24" t="s">
        <v>273</v>
      </c>
      <c r="E33" s="24" t="s">
        <v>382</v>
      </c>
      <c r="F33" s="29">
        <v>1200</v>
      </c>
      <c r="G33" s="24" t="s">
        <v>239</v>
      </c>
      <c r="H33" s="25" t="s">
        <v>240</v>
      </c>
      <c r="I33" s="24" t="s">
        <v>241</v>
      </c>
      <c r="J33" s="24" t="s">
        <v>287</v>
      </c>
      <c r="K33" s="24" t="s">
        <v>275</v>
      </c>
      <c r="L33" s="27" t="s">
        <v>242</v>
      </c>
      <c r="M33" s="65">
        <f>COUNTIF(Vendas!N:N,Funcionários!C33)</f>
        <v>51</v>
      </c>
      <c r="N33" s="66">
        <f>SUMIF(Vendas!N:N,Funcionários!C33,Vendas!F:F)</f>
        <v>41686</v>
      </c>
      <c r="O33" s="66">
        <f>SUMIFS(Vendas!F:F,Vendas!E:E,1,Vendas!N:N,Funcionários!C33)</f>
        <v>2780</v>
      </c>
      <c r="P33" s="66">
        <f>SUMIFS(Vendas!F:F,Vendas!E:E,2,Vendas!N:N,Funcionários!C33)</f>
        <v>6805</v>
      </c>
      <c r="Q33" s="66">
        <f>SUMIFS(Vendas!F:F,Vendas!E:E,3,Vendas!N:N,Funcionários!C33)</f>
        <v>5216</v>
      </c>
      <c r="R33" s="66">
        <f>SUMIFS(Vendas!F:F,Vendas!E:E,4,Vendas!N:N,Funcionários!C33)</f>
        <v>1175</v>
      </c>
      <c r="S33" s="66">
        <f>SUMIFS(Vendas!F:F,Vendas!E:E,5,Vendas!N:N,Funcionários!C33)</f>
        <v>2670</v>
      </c>
      <c r="T33" s="66">
        <f>SUMIFS(Vendas!F:F,Vendas!E:E,6,Vendas!N:N,Funcionários!C33)</f>
        <v>780</v>
      </c>
      <c r="U33" s="66">
        <f>SUMIFS(Vendas!F:F,Vendas!E:E,7,Vendas!N:N,Funcionários!C33)</f>
        <v>2310</v>
      </c>
      <c r="V33" s="66">
        <f>SUMIFS(Vendas!F:F,Vendas!E:E,8,Vendas!N:N,Funcionários!C33)</f>
        <v>2700</v>
      </c>
      <c r="W33" s="66">
        <f>SUMIFS(Vendas!F:F,Vendas!E:E,9,Vendas!N:N,Funcionários!C33)</f>
        <v>3330</v>
      </c>
      <c r="X33" s="66">
        <f>SUMIFS(Vendas!F:F,Vendas!E:E,10,Vendas!N:N,Funcionários!C33)</f>
        <v>1750</v>
      </c>
      <c r="Y33" s="66">
        <f>SUMIFS(Vendas!F:F,Vendas!E:E,11,Vendas!N:N,Funcionários!C33)</f>
        <v>8800</v>
      </c>
      <c r="Z33" s="66">
        <f>SUMIFS(Vendas!F:F,Vendas!E:E,12,Vendas!N:N,Funcionários!C33)</f>
        <v>3370</v>
      </c>
      <c r="AA33" s="28"/>
    </row>
    <row r="34" spans="3:27" ht="21.9" customHeight="1" x14ac:dyDescent="0.3">
      <c r="C34" s="24" t="s">
        <v>76</v>
      </c>
      <c r="D34" s="24" t="s">
        <v>272</v>
      </c>
      <c r="E34" s="24" t="s">
        <v>382</v>
      </c>
      <c r="F34" s="29">
        <v>1200</v>
      </c>
      <c r="G34" s="24" t="s">
        <v>243</v>
      </c>
      <c r="H34" s="25" t="s">
        <v>244</v>
      </c>
      <c r="I34" s="24" t="s">
        <v>245</v>
      </c>
      <c r="J34" s="24" t="s">
        <v>288</v>
      </c>
      <c r="K34" s="24" t="s">
        <v>276</v>
      </c>
      <c r="L34" s="27" t="s">
        <v>246</v>
      </c>
      <c r="M34" s="65">
        <f>COUNTIF(Vendas!N:N,Funcionários!C34)</f>
        <v>48</v>
      </c>
      <c r="N34" s="66">
        <f>SUMIF(Vendas!N:N,Funcionários!C34,Vendas!F:F)</f>
        <v>40888</v>
      </c>
      <c r="O34" s="66">
        <f>SUMIFS(Vendas!F:F,Vendas!E:E,1,Vendas!N:N,Funcionários!C34)</f>
        <v>625</v>
      </c>
      <c r="P34" s="66">
        <f>SUMIFS(Vendas!F:F,Vendas!E:E,2,Vendas!N:N,Funcionários!C34)</f>
        <v>2130</v>
      </c>
      <c r="Q34" s="66">
        <f>SUMIFS(Vendas!F:F,Vendas!E:E,3,Vendas!N:N,Funcionários!C34)</f>
        <v>2520</v>
      </c>
      <c r="R34" s="66">
        <f>SUMIFS(Vendas!F:F,Vendas!E:E,4,Vendas!N:N,Funcionários!C34)</f>
        <v>3290</v>
      </c>
      <c r="S34" s="66">
        <f>SUMIFS(Vendas!F:F,Vendas!E:E,5,Vendas!N:N,Funcionários!C34)</f>
        <v>3300</v>
      </c>
      <c r="T34" s="66">
        <f>SUMIFS(Vendas!F:F,Vendas!E:E,6,Vendas!N:N,Funcionários!C34)</f>
        <v>3940</v>
      </c>
      <c r="U34" s="66">
        <f>SUMIFS(Vendas!F:F,Vendas!E:E,7,Vendas!N:N,Funcionários!C34)</f>
        <v>6985</v>
      </c>
      <c r="V34" s="66">
        <f>SUMIFS(Vendas!F:F,Vendas!E:E,8,Vendas!N:N,Funcionários!C34)</f>
        <v>5770</v>
      </c>
      <c r="W34" s="66">
        <f>SUMIFS(Vendas!F:F,Vendas!E:E,9,Vendas!N:N,Funcionários!C34)</f>
        <v>60</v>
      </c>
      <c r="X34" s="66">
        <f>SUMIFS(Vendas!F:F,Vendas!E:E,10,Vendas!N:N,Funcionários!C34)</f>
        <v>5492</v>
      </c>
      <c r="Y34" s="66">
        <f>SUMIFS(Vendas!F:F,Vendas!E:E,11,Vendas!N:N,Funcionários!C34)</f>
        <v>6550</v>
      </c>
      <c r="Z34" s="66">
        <f>SUMIFS(Vendas!F:F,Vendas!E:E,12,Vendas!N:N,Funcionários!C34)</f>
        <v>226</v>
      </c>
      <c r="AA34" s="28"/>
    </row>
    <row r="35" spans="3:27" ht="21.9" customHeight="1" x14ac:dyDescent="0.3">
      <c r="C35" s="24" t="s">
        <v>75</v>
      </c>
      <c r="D35" s="24" t="s">
        <v>26</v>
      </c>
      <c r="E35" s="24" t="s">
        <v>382</v>
      </c>
      <c r="F35" s="29">
        <v>1200</v>
      </c>
      <c r="G35" s="24" t="s">
        <v>247</v>
      </c>
      <c r="H35" s="25" t="s">
        <v>248</v>
      </c>
      <c r="I35" s="24" t="s">
        <v>249</v>
      </c>
      <c r="J35" s="24" t="s">
        <v>289</v>
      </c>
      <c r="K35" s="24" t="s">
        <v>277</v>
      </c>
      <c r="L35" t="s">
        <v>506</v>
      </c>
      <c r="M35" s="65">
        <f>COUNTIF(Vendas!N:N,Funcionários!C35)</f>
        <v>59</v>
      </c>
      <c r="N35" s="66">
        <f>SUMIF(Vendas!N:N,Funcionários!C35,Vendas!F:F)</f>
        <v>44441</v>
      </c>
      <c r="O35" s="66">
        <f>SUMIFS(Vendas!F:F,Vendas!E:E,1,Vendas!N:N,Funcionários!C35)</f>
        <v>3550</v>
      </c>
      <c r="P35" s="66">
        <f>SUMIFS(Vendas!F:F,Vendas!E:E,2,Vendas!N:N,Funcionários!C35)</f>
        <v>8550</v>
      </c>
      <c r="Q35" s="66">
        <f>SUMIFS(Vendas!F:F,Vendas!E:E,3,Vendas!N:N,Funcionários!C35)</f>
        <v>2990</v>
      </c>
      <c r="R35" s="66">
        <f>SUMIFS(Vendas!F:F,Vendas!E:E,4,Vendas!N:N,Funcionários!C35)</f>
        <v>900</v>
      </c>
      <c r="S35" s="66">
        <f>SUMIFS(Vendas!F:F,Vendas!E:E,5,Vendas!N:N,Funcionários!C35)</f>
        <v>1308</v>
      </c>
      <c r="T35" s="66">
        <f>SUMIFS(Vendas!F:F,Vendas!E:E,6,Vendas!N:N,Funcionários!C35)</f>
        <v>8170</v>
      </c>
      <c r="U35" s="66">
        <f>SUMIFS(Vendas!F:F,Vendas!E:E,7,Vendas!N:N,Funcionários!C35)</f>
        <v>6370</v>
      </c>
      <c r="V35" s="66">
        <f>SUMIFS(Vendas!F:F,Vendas!E:E,8,Vendas!N:N,Funcionários!C35)</f>
        <v>2935</v>
      </c>
      <c r="W35" s="66">
        <f>SUMIFS(Vendas!F:F,Vendas!E:E,9,Vendas!N:N,Funcionários!C35)</f>
        <v>946</v>
      </c>
      <c r="X35" s="66">
        <f>SUMIFS(Vendas!F:F,Vendas!E:E,10,Vendas!N:N,Funcionários!C35)</f>
        <v>3870</v>
      </c>
      <c r="Y35" s="66">
        <f>SUMIFS(Vendas!F:F,Vendas!E:E,11,Vendas!N:N,Funcionários!C35)</f>
        <v>1402</v>
      </c>
      <c r="Z35" s="66">
        <f>SUMIFS(Vendas!F:F,Vendas!E:E,12,Vendas!N:N,Funcionários!C35)</f>
        <v>3450</v>
      </c>
      <c r="AA35" s="28"/>
    </row>
    <row r="36" spans="3:27" ht="21.9" customHeight="1" x14ac:dyDescent="0.3">
      <c r="C36" s="24" t="s">
        <v>74</v>
      </c>
      <c r="D36" s="24" t="s">
        <v>270</v>
      </c>
      <c r="E36" s="24" t="s">
        <v>382</v>
      </c>
      <c r="F36" s="29">
        <v>1200</v>
      </c>
      <c r="G36" s="24" t="s">
        <v>259</v>
      </c>
      <c r="H36" s="25" t="s">
        <v>283</v>
      </c>
      <c r="I36" s="24" t="s">
        <v>260</v>
      </c>
      <c r="J36" s="24" t="s">
        <v>288</v>
      </c>
      <c r="K36" s="24" t="s">
        <v>278</v>
      </c>
      <c r="L36" s="27" t="s">
        <v>261</v>
      </c>
      <c r="M36" s="65">
        <f>COUNTIF(Vendas!N:N,Funcionários!C36)</f>
        <v>51</v>
      </c>
      <c r="N36" s="66">
        <f>SUMIF(Vendas!N:N,Funcionários!C36,Vendas!F:F)</f>
        <v>46921</v>
      </c>
      <c r="O36" s="66">
        <f>SUMIFS(Vendas!F:F,Vendas!E:E,1,Vendas!N:N,Funcionários!C36)</f>
        <v>4270</v>
      </c>
      <c r="P36" s="66">
        <f>SUMIFS(Vendas!F:F,Vendas!E:E,2,Vendas!N:N,Funcionários!C36)</f>
        <v>3475</v>
      </c>
      <c r="Q36" s="66">
        <f>SUMIFS(Vendas!F:F,Vendas!E:E,3,Vendas!N:N,Funcionários!C36)</f>
        <v>2700</v>
      </c>
      <c r="R36" s="66">
        <f>SUMIFS(Vendas!F:F,Vendas!E:E,4,Vendas!N:N,Funcionários!C36)</f>
        <v>10490</v>
      </c>
      <c r="S36" s="66">
        <f>SUMIFS(Vendas!F:F,Vendas!E:E,5,Vendas!N:N,Funcionários!C36)</f>
        <v>2540</v>
      </c>
      <c r="T36" s="66">
        <f>SUMIFS(Vendas!F:F,Vendas!E:E,6,Vendas!N:N,Funcionários!C36)</f>
        <v>3310</v>
      </c>
      <c r="U36" s="66">
        <f>SUMIFS(Vendas!F:F,Vendas!E:E,7,Vendas!N:N,Funcionários!C36)</f>
        <v>2990</v>
      </c>
      <c r="V36" s="66">
        <f>SUMIFS(Vendas!F:F,Vendas!E:E,8,Vendas!N:N,Funcionários!C36)</f>
        <v>2030</v>
      </c>
      <c r="W36" s="66">
        <f>SUMIFS(Vendas!F:F,Vendas!E:E,9,Vendas!N:N,Funcionários!C36)</f>
        <v>8630</v>
      </c>
      <c r="X36" s="66">
        <f>SUMIFS(Vendas!F:F,Vendas!E:E,10,Vendas!N:N,Funcionários!C36)</f>
        <v>220</v>
      </c>
      <c r="Y36" s="66">
        <f>SUMIFS(Vendas!F:F,Vendas!E:E,11,Vendas!N:N,Funcionários!C36)</f>
        <v>2896</v>
      </c>
      <c r="Z36" s="66">
        <f>SUMIFS(Vendas!F:F,Vendas!E:E,12,Vendas!N:N,Funcionários!C36)</f>
        <v>3370</v>
      </c>
      <c r="AA36" s="28"/>
    </row>
    <row r="37" spans="3:27" ht="21.9" customHeight="1" x14ac:dyDescent="0.3">
      <c r="C37" s="24" t="s">
        <v>73</v>
      </c>
      <c r="D37" s="24" t="s">
        <v>268</v>
      </c>
      <c r="E37" s="24" t="s">
        <v>274</v>
      </c>
      <c r="F37" s="29">
        <v>1400</v>
      </c>
      <c r="G37" s="24" t="s">
        <v>264</v>
      </c>
      <c r="H37" s="25" t="s">
        <v>265</v>
      </c>
      <c r="I37" s="24" t="s">
        <v>262</v>
      </c>
      <c r="J37" s="24" t="s">
        <v>288</v>
      </c>
      <c r="K37" s="24" t="s">
        <v>279</v>
      </c>
      <c r="L37" s="27" t="s">
        <v>266</v>
      </c>
      <c r="M37" s="65">
        <f>COUNTIF(Vendas!N:N,Funcionários!C37)</f>
        <v>50</v>
      </c>
      <c r="N37" s="66">
        <f>SUMIF(Vendas!N:N,Funcionários!C37,Vendas!F:F)</f>
        <v>31134</v>
      </c>
      <c r="O37" s="66">
        <f>SUMIFS(Vendas!F:F,Vendas!E:E,1,Vendas!N:N,Funcionários!C37)</f>
        <v>596</v>
      </c>
      <c r="P37" s="66">
        <f>SUMIFS(Vendas!F:F,Vendas!E:E,2,Vendas!N:N,Funcionários!C37)</f>
        <v>7900</v>
      </c>
      <c r="Q37" s="66">
        <f>SUMIFS(Vendas!F:F,Vendas!E:E,3,Vendas!N:N,Funcionários!C37)</f>
        <v>4411</v>
      </c>
      <c r="R37" s="66">
        <f>SUMIFS(Vendas!F:F,Vendas!E:E,4,Vendas!N:N,Funcionários!C37)</f>
        <v>1320</v>
      </c>
      <c r="S37" s="66">
        <f>SUMIFS(Vendas!F:F,Vendas!E:E,5,Vendas!N:N,Funcionários!C37)</f>
        <v>3825</v>
      </c>
      <c r="T37" s="66">
        <f>SUMIFS(Vendas!F:F,Vendas!E:E,6,Vendas!N:N,Funcionários!C37)</f>
        <v>540</v>
      </c>
      <c r="U37" s="66">
        <f>SUMIFS(Vendas!F:F,Vendas!E:E,7,Vendas!N:N,Funcionários!C37)</f>
        <v>1382</v>
      </c>
      <c r="V37" s="66">
        <f>SUMIFS(Vendas!F:F,Vendas!E:E,8,Vendas!N:N,Funcionários!C37)</f>
        <v>230</v>
      </c>
      <c r="W37" s="66">
        <f>SUMIFS(Vendas!F:F,Vendas!E:E,9,Vendas!N:N,Funcionários!C37)</f>
        <v>2620</v>
      </c>
      <c r="X37" s="66">
        <f>SUMIFS(Vendas!F:F,Vendas!E:E,10,Vendas!N:N,Funcionários!C37)</f>
        <v>1555</v>
      </c>
      <c r="Y37" s="66">
        <f>SUMIFS(Vendas!F:F,Vendas!E:E,11,Vendas!N:N,Funcionários!C37)</f>
        <v>1705</v>
      </c>
      <c r="Z37" s="66">
        <f>SUMIFS(Vendas!F:F,Vendas!E:E,12,Vendas!N:N,Funcionários!C37)</f>
        <v>5050</v>
      </c>
      <c r="AA37" s="28"/>
    </row>
    <row r="38" spans="3:27" ht="21.9" customHeight="1" x14ac:dyDescent="0.3">
      <c r="C38" s="24" t="s">
        <v>72</v>
      </c>
      <c r="D38" s="24" t="s">
        <v>250</v>
      </c>
      <c r="E38" s="24" t="s">
        <v>274</v>
      </c>
      <c r="F38" s="29">
        <v>1400</v>
      </c>
      <c r="G38" s="24" t="s">
        <v>251</v>
      </c>
      <c r="H38" s="25" t="s">
        <v>252</v>
      </c>
      <c r="I38" s="24" t="s">
        <v>253</v>
      </c>
      <c r="J38" s="24" t="s">
        <v>384</v>
      </c>
      <c r="K38" s="24" t="s">
        <v>280</v>
      </c>
      <c r="L38" t="s">
        <v>254</v>
      </c>
      <c r="M38" s="65">
        <f>COUNTIF(Vendas!N:N,Funcionários!C38)</f>
        <v>59</v>
      </c>
      <c r="N38" s="66">
        <f>SUMIF(Vendas!N:N,Funcionários!C38,Vendas!F:F)</f>
        <v>53880</v>
      </c>
      <c r="O38" s="66">
        <f>SUMIFS(Vendas!F:F,Vendas!E:E,1,Vendas!N:N,Funcionários!C38)</f>
        <v>5120</v>
      </c>
      <c r="P38" s="66">
        <f>SUMIFS(Vendas!F:F,Vendas!E:E,2,Vendas!N:N,Funcionários!C38)</f>
        <v>2630</v>
      </c>
      <c r="Q38" s="66">
        <f>SUMIFS(Vendas!F:F,Vendas!E:E,3,Vendas!N:N,Funcionários!C38)</f>
        <v>1340</v>
      </c>
      <c r="R38" s="66">
        <f>SUMIFS(Vendas!F:F,Vendas!E:E,4,Vendas!N:N,Funcionários!C38)</f>
        <v>12785</v>
      </c>
      <c r="S38" s="66">
        <f>SUMIFS(Vendas!F:F,Vendas!E:E,5,Vendas!N:N,Funcionários!C38)</f>
        <v>850</v>
      </c>
      <c r="T38" s="66">
        <f>SUMIFS(Vendas!F:F,Vendas!E:E,6,Vendas!N:N,Funcionários!C38)</f>
        <v>1625</v>
      </c>
      <c r="U38" s="66">
        <f>SUMIFS(Vendas!F:F,Vendas!E:E,7,Vendas!N:N,Funcionários!C38)</f>
        <v>2350</v>
      </c>
      <c r="V38" s="66">
        <f>SUMIFS(Vendas!F:F,Vendas!E:E,8,Vendas!N:N,Funcionários!C38)</f>
        <v>3420</v>
      </c>
      <c r="W38" s="66">
        <f>SUMIFS(Vendas!F:F,Vendas!E:E,9,Vendas!N:N,Funcionários!C38)</f>
        <v>6140</v>
      </c>
      <c r="X38" s="66">
        <f>SUMIFS(Vendas!F:F,Vendas!E:E,10,Vendas!N:N,Funcionários!C38)</f>
        <v>3000</v>
      </c>
      <c r="Y38" s="66">
        <f>SUMIFS(Vendas!F:F,Vendas!E:E,11,Vendas!N:N,Funcionários!C38)</f>
        <v>6220</v>
      </c>
      <c r="Z38" s="66">
        <f>SUMIFS(Vendas!F:F,Vendas!E:E,12,Vendas!N:N,Funcionários!C38)</f>
        <v>8400</v>
      </c>
      <c r="AA38" s="28"/>
    </row>
    <row r="39" spans="3:27" ht="21.9" customHeight="1" x14ac:dyDescent="0.3">
      <c r="C39" s="24" t="s">
        <v>71</v>
      </c>
      <c r="D39" s="24" t="s">
        <v>271</v>
      </c>
      <c r="E39" s="24" t="s">
        <v>274</v>
      </c>
      <c r="F39" s="29">
        <v>1400</v>
      </c>
      <c r="G39" s="24" t="s">
        <v>256</v>
      </c>
      <c r="H39" s="25" t="s">
        <v>257</v>
      </c>
      <c r="I39" s="24" t="s">
        <v>286</v>
      </c>
      <c r="J39" s="24" t="s">
        <v>288</v>
      </c>
      <c r="K39" s="24" t="s">
        <v>281</v>
      </c>
      <c r="L39" s="27" t="s">
        <v>258</v>
      </c>
      <c r="M39" s="65">
        <f>COUNTIF(Vendas!N:N,Funcionários!C39)</f>
        <v>66</v>
      </c>
      <c r="N39" s="66">
        <f>SUMIF(Vendas!N:N,Funcionários!C39,Vendas!F:F)</f>
        <v>40858</v>
      </c>
      <c r="O39" s="66">
        <f>SUMIFS(Vendas!F:F,Vendas!E:E,1,Vendas!N:N,Funcionários!C39)</f>
        <v>3803</v>
      </c>
      <c r="P39" s="66">
        <f>SUMIFS(Vendas!F:F,Vendas!E:E,2,Vendas!N:N,Funcionários!C39)</f>
        <v>4648</v>
      </c>
      <c r="Q39" s="66">
        <f>SUMIFS(Vendas!F:F,Vendas!E:E,3,Vendas!N:N,Funcionários!C39)</f>
        <v>1970</v>
      </c>
      <c r="R39" s="66">
        <f>SUMIFS(Vendas!F:F,Vendas!E:E,4,Vendas!N:N,Funcionários!C39)</f>
        <v>1096</v>
      </c>
      <c r="S39" s="66">
        <f>SUMIFS(Vendas!F:F,Vendas!E:E,5,Vendas!N:N,Funcionários!C39)</f>
        <v>7206</v>
      </c>
      <c r="T39" s="66">
        <f>SUMIFS(Vendas!F:F,Vendas!E:E,6,Vendas!N:N,Funcionários!C39)</f>
        <v>4882</v>
      </c>
      <c r="U39" s="66">
        <f>SUMIFS(Vendas!F:F,Vendas!E:E,7,Vendas!N:N,Funcionários!C39)</f>
        <v>1840</v>
      </c>
      <c r="V39" s="66">
        <f>SUMIFS(Vendas!F:F,Vendas!E:E,8,Vendas!N:N,Funcionários!C39)</f>
        <v>1785</v>
      </c>
      <c r="W39" s="66">
        <f>SUMIFS(Vendas!F:F,Vendas!E:E,9,Vendas!N:N,Funcionários!C39)</f>
        <v>1570</v>
      </c>
      <c r="X39" s="66">
        <f>SUMIFS(Vendas!F:F,Vendas!E:E,10,Vendas!N:N,Funcionários!C39)</f>
        <v>3133</v>
      </c>
      <c r="Y39" s="66">
        <f>SUMIFS(Vendas!F:F,Vendas!E:E,11,Vendas!N:N,Funcionários!C39)</f>
        <v>4285</v>
      </c>
      <c r="Z39" s="66">
        <f>SUMIFS(Vendas!F:F,Vendas!E:E,12,Vendas!N:N,Funcionários!C39)</f>
        <v>4640</v>
      </c>
      <c r="AA39" s="28"/>
    </row>
    <row r="40" spans="3:27" ht="21.9" customHeight="1" x14ac:dyDescent="0.3">
      <c r="C40" s="24" t="s">
        <v>51</v>
      </c>
      <c r="D40" s="24" t="s">
        <v>269</v>
      </c>
      <c r="E40" s="24" t="s">
        <v>255</v>
      </c>
      <c r="F40" s="29">
        <v>2500</v>
      </c>
      <c r="G40" s="24" t="s">
        <v>267</v>
      </c>
      <c r="H40" s="25" t="s">
        <v>284</v>
      </c>
      <c r="I40" s="24" t="s">
        <v>262</v>
      </c>
      <c r="J40" s="24" t="s">
        <v>288</v>
      </c>
      <c r="K40" s="24" t="s">
        <v>282</v>
      </c>
      <c r="L40" s="27" t="s">
        <v>263</v>
      </c>
      <c r="M40" s="65">
        <f>COUNTIF(Vendas!N:N,Funcionários!C40)</f>
        <v>66</v>
      </c>
      <c r="N40" s="66">
        <f>SUMIF(Vendas!N:N,Funcionários!C40,Vendas!F:F)</f>
        <v>42241</v>
      </c>
      <c r="O40" s="66">
        <f>SUMIFS(Vendas!F:F,Vendas!E:E,1,Vendas!N:N,Funcionários!C40)</f>
        <v>3190</v>
      </c>
      <c r="P40" s="66">
        <f>SUMIFS(Vendas!F:F,Vendas!E:E,2,Vendas!N:N,Funcionários!C40)</f>
        <v>2648</v>
      </c>
      <c r="Q40" s="66">
        <f>SUMIFS(Vendas!F:F,Vendas!E:E,3,Vendas!N:N,Funcionários!C40)</f>
        <v>2665</v>
      </c>
      <c r="R40" s="66">
        <f>SUMIFS(Vendas!F:F,Vendas!E:E,4,Vendas!N:N,Funcionários!C40)</f>
        <v>3870</v>
      </c>
      <c r="S40" s="66">
        <f>SUMIFS(Vendas!F:F,Vendas!E:E,5,Vendas!N:N,Funcionários!C40)</f>
        <v>1950</v>
      </c>
      <c r="T40" s="66">
        <f>SUMIFS(Vendas!F:F,Vendas!E:E,6,Vendas!N:N,Funcionários!C40)</f>
        <v>2386</v>
      </c>
      <c r="U40" s="66">
        <f>SUMIFS(Vendas!F:F,Vendas!E:E,7,Vendas!N:N,Funcionários!C40)</f>
        <v>2170</v>
      </c>
      <c r="V40" s="66">
        <f>SUMIFS(Vendas!F:F,Vendas!E:E,8,Vendas!N:N,Funcionários!C40)</f>
        <v>6482</v>
      </c>
      <c r="W40" s="66">
        <f>SUMIFS(Vendas!F:F,Vendas!E:E,9,Vendas!N:N,Funcionários!C40)</f>
        <v>2630</v>
      </c>
      <c r="X40" s="66">
        <f>SUMIFS(Vendas!F:F,Vendas!E:E,10,Vendas!N:N,Funcionários!C40)</f>
        <v>6450</v>
      </c>
      <c r="Y40" s="66">
        <f>SUMIFS(Vendas!F:F,Vendas!E:E,11,Vendas!N:N,Funcionários!C40)</f>
        <v>2860</v>
      </c>
      <c r="Z40" s="66">
        <f>SUMIFS(Vendas!F:F,Vendas!E:E,12,Vendas!N:N,Funcionários!C40)</f>
        <v>4940</v>
      </c>
      <c r="AA40" s="28"/>
    </row>
    <row r="42" spans="3:27" ht="21.9" customHeight="1" x14ac:dyDescent="0.3">
      <c r="F42" s="4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AF53"/>
  <sheetViews>
    <sheetView zoomScale="85" zoomScaleNormal="85" workbookViewId="0"/>
  </sheetViews>
  <sheetFormatPr defaultRowHeight="21.9" customHeight="1" x14ac:dyDescent="0.3"/>
  <cols>
    <col min="1" max="1" width="57" style="1" customWidth="1"/>
    <col min="2" max="2" width="14.44140625" style="7" customWidth="1"/>
    <col min="3" max="3" width="26.88671875" style="13" customWidth="1"/>
    <col min="4" max="4" width="45" style="7" customWidth="1"/>
    <col min="5" max="5" width="22.109375" style="7" customWidth="1"/>
    <col min="6" max="6" width="33.88671875" style="7" customWidth="1"/>
    <col min="7" max="7" width="22.44140625" style="7" customWidth="1"/>
    <col min="8" max="8" width="18" style="7" customWidth="1"/>
    <col min="9" max="9" width="25.109375" style="7" customWidth="1"/>
    <col min="10" max="11" width="23.33203125" style="7" customWidth="1"/>
    <col min="12" max="12" width="20.44140625" style="11" customWidth="1"/>
    <col min="13" max="14" width="17.44140625" style="30" customWidth="1"/>
    <col min="15" max="15" width="13.6640625" style="30" customWidth="1"/>
    <col min="16" max="16" width="16.88671875" style="30" customWidth="1"/>
    <col min="17" max="17" width="14.44140625" style="30" customWidth="1"/>
    <col min="18" max="18" width="16.44140625" style="30" customWidth="1"/>
    <col min="19" max="19" width="15.88671875" style="30" customWidth="1"/>
    <col min="20" max="20" width="15" style="30" customWidth="1"/>
    <col min="21" max="21" width="20" style="30" customWidth="1"/>
    <col min="22" max="22" width="15.5546875" style="30" customWidth="1"/>
    <col min="23" max="23" width="19.5546875" style="30" customWidth="1"/>
    <col min="24" max="24" width="17.6640625" style="30" customWidth="1"/>
    <col min="25" max="32" width="9.109375" style="7"/>
  </cols>
  <sheetData>
    <row r="2" spans="3:8" ht="21.9" customHeight="1" x14ac:dyDescent="0.3">
      <c r="C2" s="8"/>
    </row>
    <row r="3" spans="3:8" ht="30" customHeight="1" x14ac:dyDescent="0.7">
      <c r="C3" s="23" t="s">
        <v>100</v>
      </c>
    </row>
    <row r="4" spans="3:8" ht="21.9" customHeight="1" x14ac:dyDescent="0.3">
      <c r="C4" s="12"/>
    </row>
    <row r="5" spans="3:8" ht="21.9" customHeight="1" x14ac:dyDescent="0.3">
      <c r="C5" s="22" t="s">
        <v>101</v>
      </c>
      <c r="H5" s="20"/>
    </row>
    <row r="6" spans="3:8" ht="21.9" customHeight="1" x14ac:dyDescent="0.3">
      <c r="C6" s="31"/>
      <c r="D6" s="16"/>
      <c r="H6" s="20"/>
    </row>
    <row r="7" spans="3:8" ht="21.9" customHeight="1" x14ac:dyDescent="0.3">
      <c r="C7" s="22" t="s">
        <v>1</v>
      </c>
      <c r="H7" s="20"/>
    </row>
    <row r="8" spans="3:8" ht="21.9" customHeight="1" x14ac:dyDescent="0.3">
      <c r="C8" s="31"/>
      <c r="D8" s="16"/>
      <c r="H8" s="20"/>
    </row>
    <row r="9" spans="3:8" ht="21.9" customHeight="1" x14ac:dyDescent="0.3">
      <c r="C9" s="22" t="s">
        <v>213</v>
      </c>
      <c r="H9" s="20"/>
    </row>
    <row r="10" spans="3:8" ht="21.9" customHeight="1" x14ac:dyDescent="0.3">
      <c r="C10" s="31"/>
      <c r="D10" s="16"/>
      <c r="E10" s="7" t="s">
        <v>104</v>
      </c>
      <c r="H10" s="20"/>
    </row>
    <row r="11" spans="3:8" ht="21.9" customHeight="1" x14ac:dyDescent="0.3">
      <c r="C11" s="22" t="s">
        <v>214</v>
      </c>
      <c r="H11" s="20"/>
    </row>
    <row r="12" spans="3:8" ht="21.9" customHeight="1" x14ac:dyDescent="0.3">
      <c r="C12" s="41"/>
      <c r="D12" s="16"/>
      <c r="H12" s="20"/>
    </row>
    <row r="13" spans="3:8" ht="21.9" customHeight="1" x14ac:dyDescent="0.3">
      <c r="C13" s="22" t="s">
        <v>215</v>
      </c>
      <c r="H13" s="20"/>
    </row>
    <row r="14" spans="3:8" ht="21.9" customHeight="1" x14ac:dyDescent="0.3">
      <c r="C14" s="41"/>
      <c r="D14" s="16"/>
      <c r="H14" s="20"/>
    </row>
    <row r="15" spans="3:8" ht="21.9" customHeight="1" x14ac:dyDescent="0.3">
      <c r="C15" s="22" t="s">
        <v>216</v>
      </c>
      <c r="H15" s="20"/>
    </row>
    <row r="16" spans="3:8" ht="21.9" customHeight="1" x14ac:dyDescent="0.3">
      <c r="C16" s="43"/>
      <c r="D16" s="16"/>
    </row>
    <row r="17" spans="3:24" ht="21.9" customHeight="1" x14ac:dyDescent="0.3">
      <c r="C17" s="22" t="s">
        <v>102</v>
      </c>
    </row>
    <row r="18" spans="3:24" ht="21.9" customHeight="1" x14ac:dyDescent="0.3">
      <c r="C18" s="44"/>
      <c r="D18" s="16"/>
    </row>
    <row r="19" spans="3:24" ht="21.9" customHeight="1" x14ac:dyDescent="0.3">
      <c r="C19" s="22" t="s">
        <v>103</v>
      </c>
    </row>
    <row r="20" spans="3:24" ht="21.9" customHeight="1" x14ac:dyDescent="0.3">
      <c r="C20" s="32"/>
      <c r="D20" s="16"/>
    </row>
    <row r="21" spans="3:24" ht="21.9" customHeight="1" x14ac:dyDescent="0.3">
      <c r="C21" s="7"/>
    </row>
    <row r="22" spans="3:24" ht="21.9" customHeight="1" x14ac:dyDescent="0.3">
      <c r="C22" s="7"/>
    </row>
    <row r="23" spans="3:24" ht="21.9" customHeight="1" x14ac:dyDescent="0.3">
      <c r="C23" s="7"/>
    </row>
    <row r="24" spans="3:24" ht="21.9" customHeight="1" x14ac:dyDescent="0.3">
      <c r="C24" s="7"/>
      <c r="F24" s="28"/>
      <c r="G24" s="28"/>
    </row>
    <row r="25" spans="3:24" ht="21.9" customHeight="1" x14ac:dyDescent="0.3">
      <c r="C25" s="7"/>
    </row>
    <row r="26" spans="3:24" ht="21.9" customHeight="1" x14ac:dyDescent="0.3">
      <c r="C26" s="7"/>
    </row>
    <row r="31" spans="3:24" ht="21.9" customHeight="1" x14ac:dyDescent="0.3">
      <c r="C31" s="17" t="s">
        <v>0</v>
      </c>
      <c r="D31" s="17" t="s">
        <v>1</v>
      </c>
      <c r="E31" s="19" t="s">
        <v>213</v>
      </c>
      <c r="F31" s="19" t="s">
        <v>214</v>
      </c>
      <c r="G31" s="19" t="s">
        <v>215</v>
      </c>
      <c r="H31" s="19" t="s">
        <v>216</v>
      </c>
      <c r="I31" s="19" t="s">
        <v>23</v>
      </c>
      <c r="J31" s="19" t="s">
        <v>217</v>
      </c>
      <c r="K31" s="18" t="s">
        <v>21</v>
      </c>
      <c r="L31" s="18" t="s">
        <v>7</v>
      </c>
      <c r="M31" s="18" t="s">
        <v>8</v>
      </c>
      <c r="N31" s="18" t="s">
        <v>9</v>
      </c>
      <c r="O31" s="18" t="s">
        <v>10</v>
      </c>
      <c r="P31" s="18" t="s">
        <v>11</v>
      </c>
      <c r="Q31" s="18" t="s">
        <v>12</v>
      </c>
      <c r="R31" s="18" t="s">
        <v>13</v>
      </c>
      <c r="S31" s="18" t="s">
        <v>14</v>
      </c>
      <c r="T31" s="18" t="s">
        <v>15</v>
      </c>
      <c r="U31" s="18" t="s">
        <v>16</v>
      </c>
      <c r="V31" s="18" t="s">
        <v>17</v>
      </c>
      <c r="W31" s="18" t="s">
        <v>18</v>
      </c>
      <c r="X31" s="18" t="s">
        <v>19</v>
      </c>
    </row>
    <row r="32" spans="3:24" ht="21.9" customHeight="1" x14ac:dyDescent="0.3">
      <c r="C32" s="33" t="s">
        <v>121</v>
      </c>
      <c r="D32" s="33" t="s">
        <v>183</v>
      </c>
      <c r="E32" s="33" t="s">
        <v>207</v>
      </c>
      <c r="F32" s="34" t="s">
        <v>210</v>
      </c>
      <c r="G32" s="34" t="s">
        <v>184</v>
      </c>
      <c r="H32" s="35" t="s">
        <v>230</v>
      </c>
      <c r="I32" s="36">
        <v>1000</v>
      </c>
      <c r="J32" s="36">
        <v>1600</v>
      </c>
      <c r="K32" s="67">
        <f>COUNTIF(Vendas!G:G,Produtos!C32)</f>
        <v>16</v>
      </c>
      <c r="L32" s="42">
        <f>SUMIF(Vendas!G:G,Produtos!C32,Vendas!F:F)</f>
        <v>40000</v>
      </c>
      <c r="M32" s="37">
        <f>SUMIFS(Vendas!F:F,Vendas!E:E,1,Vendas!G:G,Produtos!C32)</f>
        <v>3200</v>
      </c>
      <c r="N32" s="37">
        <f>SUMIFS(Vendas!F:F,Vendas!E:E,2,Vendas!G:G,Produtos!C32)</f>
        <v>3200</v>
      </c>
      <c r="O32" s="37">
        <f>SUMIFS(Vendas!F:F,Vendas!E:E,3,Vendas!G:G,Produtos!C32)</f>
        <v>1600</v>
      </c>
      <c r="P32" s="37">
        <f>SUMIFS(Vendas!F:F,Vendas!E:E,4,Vendas!G:G,Produtos!C32)</f>
        <v>4800</v>
      </c>
      <c r="Q32" s="37">
        <f>SUMIFS(Vendas!F:F,Vendas!E:E,5,Vendas!G:G,Produtos!C32)</f>
        <v>3200</v>
      </c>
      <c r="R32" s="37">
        <f>SUMIFS(Vendas!F:F,Vendas!E:E,6,Vendas!G:G,Produtos!C32)</f>
        <v>1600</v>
      </c>
      <c r="S32" s="37">
        <f>SUMIFS(Vendas!F:F,Vendas!E:E,7,Vendas!G:G,Produtos!C32)</f>
        <v>1600</v>
      </c>
      <c r="T32" s="37">
        <f>SUMIFS(Vendas!F:F,Vendas!E:E,8,Vendas!G:G,Produtos!C32)</f>
        <v>1600</v>
      </c>
      <c r="U32" s="37">
        <f>SUMIFS(Vendas!F:F,Vendas!E:E,9,Vendas!G:G,Produtos!C32)</f>
        <v>4800</v>
      </c>
      <c r="V32" s="37">
        <f>SUMIFS(Vendas!F:F,Vendas!E:E,10,Vendas!G:G,Produtos!C32)</f>
        <v>3200</v>
      </c>
      <c r="W32" s="37">
        <f>SUMIFS(Vendas!F:F,Vendas!E:E,11,Vendas!G:G,Produtos!C32)</f>
        <v>8000</v>
      </c>
      <c r="X32" s="37">
        <f>SUMIFS(Vendas!F:F,Vendas!E:E,12,Vendas!G:G,Produtos!C32)</f>
        <v>3200</v>
      </c>
    </row>
    <row r="33" spans="3:24" ht="21.9" customHeight="1" x14ac:dyDescent="0.3">
      <c r="C33" s="33" t="s">
        <v>120</v>
      </c>
      <c r="D33" s="33" t="s">
        <v>185</v>
      </c>
      <c r="E33" s="33" t="s">
        <v>207</v>
      </c>
      <c r="F33" s="34" t="s">
        <v>210</v>
      </c>
      <c r="G33" s="34" t="s">
        <v>184</v>
      </c>
      <c r="H33" s="35" t="s">
        <v>230</v>
      </c>
      <c r="I33" s="36">
        <v>1500</v>
      </c>
      <c r="J33" s="36">
        <v>2800</v>
      </c>
      <c r="K33" s="67">
        <f>COUNTIF(Vendas!G:G,Produtos!C33)</f>
        <v>16</v>
      </c>
      <c r="L33" s="42">
        <f>SUMIF(Vendas!G:G,Produtos!C33,Vendas!F:F)</f>
        <v>81200</v>
      </c>
      <c r="M33" s="37">
        <f>SUMIFS(Vendas!F:F,Vendas!E:E,1,Vendas!G:G,Produtos!C33)</f>
        <v>5600</v>
      </c>
      <c r="N33" s="37">
        <f>SUMIFS(Vendas!F:F,Vendas!E:E,2,Vendas!G:G,Produtos!C33)</f>
        <v>11200</v>
      </c>
      <c r="O33" s="37">
        <f>SUMIFS(Vendas!F:F,Vendas!E:E,3,Vendas!G:G,Produtos!C33)</f>
        <v>2800</v>
      </c>
      <c r="P33" s="37">
        <f>SUMIFS(Vendas!F:F,Vendas!E:E,4,Vendas!G:G,Produtos!C33)</f>
        <v>16800</v>
      </c>
      <c r="Q33" s="37">
        <f>SUMIFS(Vendas!F:F,Vendas!E:E,5,Vendas!G:G,Produtos!C33)</f>
        <v>2800</v>
      </c>
      <c r="R33" s="37">
        <f>SUMIFS(Vendas!F:F,Vendas!E:E,6,Vendas!G:G,Produtos!C33)</f>
        <v>5600</v>
      </c>
      <c r="S33" s="37">
        <f>SUMIFS(Vendas!F:F,Vendas!E:E,7,Vendas!G:G,Produtos!C33)</f>
        <v>5600</v>
      </c>
      <c r="T33" s="37">
        <f>SUMIFS(Vendas!F:F,Vendas!E:E,8,Vendas!G:G,Produtos!C33)</f>
        <v>2800</v>
      </c>
      <c r="U33" s="37">
        <f>SUMIFS(Vendas!F:F,Vendas!E:E,9,Vendas!G:G,Produtos!C33)</f>
        <v>5600</v>
      </c>
      <c r="V33" s="37">
        <f>SUMIFS(Vendas!F:F,Vendas!E:E,10,Vendas!G:G,Produtos!C33)</f>
        <v>2800</v>
      </c>
      <c r="W33" s="37">
        <f>SUMIFS(Vendas!F:F,Vendas!E:E,11,Vendas!G:G,Produtos!C33)</f>
        <v>11200</v>
      </c>
      <c r="X33" s="37">
        <f>SUMIFS(Vendas!F:F,Vendas!E:E,12,Vendas!G:G,Produtos!C33)</f>
        <v>8400</v>
      </c>
    </row>
    <row r="34" spans="3:24" ht="21.9" customHeight="1" x14ac:dyDescent="0.3">
      <c r="C34" s="33" t="s">
        <v>97</v>
      </c>
      <c r="D34" s="33" t="s">
        <v>189</v>
      </c>
      <c r="E34" s="33" t="s">
        <v>207</v>
      </c>
      <c r="F34" s="34" t="s">
        <v>211</v>
      </c>
      <c r="G34" s="34" t="s">
        <v>227</v>
      </c>
      <c r="H34" s="35" t="s">
        <v>525</v>
      </c>
      <c r="I34" s="36">
        <v>30</v>
      </c>
      <c r="J34" s="36">
        <v>80</v>
      </c>
      <c r="K34" s="67">
        <f>COUNTIF(Vendas!G:G,Produtos!C34)</f>
        <v>18</v>
      </c>
      <c r="L34" s="42">
        <f>SUMIF(Vendas!G:G,Produtos!C34,Vendas!F:F)</f>
        <v>2960</v>
      </c>
      <c r="M34" s="37">
        <f>SUMIFS(Vendas!F:F,Vendas!E:E,1,Vendas!G:G,Produtos!C34)</f>
        <v>320</v>
      </c>
      <c r="N34" s="37">
        <f>SUMIFS(Vendas!F:F,Vendas!E:E,2,Vendas!G:G,Produtos!C34)</f>
        <v>400</v>
      </c>
      <c r="O34" s="37">
        <f>SUMIFS(Vendas!F:F,Vendas!E:E,3,Vendas!G:G,Produtos!C34)</f>
        <v>240</v>
      </c>
      <c r="P34" s="37">
        <f>SUMIFS(Vendas!F:F,Vendas!E:E,4,Vendas!G:G,Produtos!C34)</f>
        <v>400</v>
      </c>
      <c r="Q34" s="37">
        <f>SUMIFS(Vendas!F:F,Vendas!E:E,5,Vendas!G:G,Produtos!C34)</f>
        <v>160</v>
      </c>
      <c r="R34" s="37">
        <f>SUMIFS(Vendas!F:F,Vendas!E:E,6,Vendas!G:G,Produtos!C34)</f>
        <v>80</v>
      </c>
      <c r="S34" s="37">
        <f>SUMIFS(Vendas!F:F,Vendas!E:E,7,Vendas!G:G,Produtos!C34)</f>
        <v>80</v>
      </c>
      <c r="T34" s="37">
        <f>SUMIFS(Vendas!F:F,Vendas!E:E,8,Vendas!G:G,Produtos!C34)</f>
        <v>160</v>
      </c>
      <c r="U34" s="37">
        <f>SUMIFS(Vendas!F:F,Vendas!E:E,9,Vendas!G:G,Produtos!C34)</f>
        <v>160</v>
      </c>
      <c r="V34" s="37">
        <f>SUMIFS(Vendas!F:F,Vendas!E:E,10,Vendas!G:G,Produtos!C34)</f>
        <v>240</v>
      </c>
      <c r="W34" s="37">
        <f>SUMIFS(Vendas!F:F,Vendas!E:E,11,Vendas!G:G,Produtos!C34)</f>
        <v>400</v>
      </c>
      <c r="X34" s="37">
        <f>SUMIFS(Vendas!F:F,Vendas!E:E,12,Vendas!G:G,Produtos!C34)</f>
        <v>320</v>
      </c>
    </row>
    <row r="35" spans="3:24" ht="21.9" customHeight="1" x14ac:dyDescent="0.3">
      <c r="C35" s="33" t="s">
        <v>96</v>
      </c>
      <c r="D35" s="33" t="s">
        <v>190</v>
      </c>
      <c r="E35" s="33" t="s">
        <v>208</v>
      </c>
      <c r="F35" s="34" t="s">
        <v>212</v>
      </c>
      <c r="G35" s="34" t="s">
        <v>227</v>
      </c>
      <c r="H35" s="35" t="s">
        <v>223</v>
      </c>
      <c r="I35" s="36">
        <v>30</v>
      </c>
      <c r="J35" s="36">
        <v>60</v>
      </c>
      <c r="K35" s="67">
        <f>COUNTIF(Vendas!G:G,Produtos!C35)</f>
        <v>21</v>
      </c>
      <c r="L35" s="42">
        <f>SUMIF(Vendas!G:G,Produtos!C35,Vendas!F:F)</f>
        <v>2820</v>
      </c>
      <c r="M35" s="37">
        <f>SUMIFS(Vendas!F:F,Vendas!E:E,1,Vendas!G:G,Produtos!C35)</f>
        <v>300</v>
      </c>
      <c r="N35" s="37">
        <f>SUMIFS(Vendas!F:F,Vendas!E:E,2,Vendas!G:G,Produtos!C35)</f>
        <v>120</v>
      </c>
      <c r="O35" s="37">
        <f>SUMIFS(Vendas!F:F,Vendas!E:E,3,Vendas!G:G,Produtos!C35)</f>
        <v>180</v>
      </c>
      <c r="P35" s="37">
        <f>SUMIFS(Vendas!F:F,Vendas!E:E,4,Vendas!G:G,Produtos!C35)</f>
        <v>240</v>
      </c>
      <c r="Q35" s="37">
        <f>SUMIFS(Vendas!F:F,Vendas!E:E,5,Vendas!G:G,Produtos!C35)</f>
        <v>300</v>
      </c>
      <c r="R35" s="37">
        <f>SUMIFS(Vendas!F:F,Vendas!E:E,6,Vendas!G:G,Produtos!C35)</f>
        <v>300</v>
      </c>
      <c r="S35" s="37">
        <f>SUMIFS(Vendas!F:F,Vendas!E:E,7,Vendas!G:G,Produtos!C35)</f>
        <v>180</v>
      </c>
      <c r="T35" s="37">
        <f>SUMIFS(Vendas!F:F,Vendas!E:E,8,Vendas!G:G,Produtos!C35)</f>
        <v>360</v>
      </c>
      <c r="U35" s="37">
        <f>SUMIFS(Vendas!F:F,Vendas!E:E,9,Vendas!G:G,Produtos!C35)</f>
        <v>240</v>
      </c>
      <c r="V35" s="37">
        <f>SUMIFS(Vendas!F:F,Vendas!E:E,10,Vendas!G:G,Produtos!C35)</f>
        <v>60</v>
      </c>
      <c r="W35" s="37">
        <f>SUMIFS(Vendas!F:F,Vendas!E:E,11,Vendas!G:G,Produtos!C35)</f>
        <v>240</v>
      </c>
      <c r="X35" s="37">
        <f>SUMIFS(Vendas!F:F,Vendas!E:E,12,Vendas!G:G,Produtos!C35)</f>
        <v>300</v>
      </c>
    </row>
    <row r="36" spans="3:24" ht="21.9" customHeight="1" x14ac:dyDescent="0.3">
      <c r="C36" s="33" t="s">
        <v>95</v>
      </c>
      <c r="D36" s="33" t="s">
        <v>191</v>
      </c>
      <c r="E36" s="33" t="s">
        <v>207</v>
      </c>
      <c r="F36" s="34" t="s">
        <v>222</v>
      </c>
      <c r="G36" s="34" t="s">
        <v>226</v>
      </c>
      <c r="H36" s="35" t="s">
        <v>231</v>
      </c>
      <c r="I36" s="36">
        <v>50</v>
      </c>
      <c r="J36" s="36">
        <v>100</v>
      </c>
      <c r="K36" s="67">
        <f>COUNTIF(Vendas!G:G,Produtos!C36)</f>
        <v>22</v>
      </c>
      <c r="L36" s="42">
        <f>SUMIF(Vendas!G:G,Produtos!C36,Vendas!F:F)</f>
        <v>4300</v>
      </c>
      <c r="M36" s="37">
        <f>SUMIFS(Vendas!F:F,Vendas!E:E,1,Vendas!G:G,Produtos!C36)</f>
        <v>400</v>
      </c>
      <c r="N36" s="37">
        <f>SUMIFS(Vendas!F:F,Vendas!E:E,2,Vendas!G:G,Produtos!C36)</f>
        <v>400</v>
      </c>
      <c r="O36" s="37">
        <f>SUMIFS(Vendas!F:F,Vendas!E:E,3,Vendas!G:G,Produtos!C36)</f>
        <v>300</v>
      </c>
      <c r="P36" s="37">
        <f>SUMIFS(Vendas!F:F,Vendas!E:E,4,Vendas!G:G,Produtos!C36)</f>
        <v>400</v>
      </c>
      <c r="Q36" s="37">
        <f>SUMIFS(Vendas!F:F,Vendas!E:E,5,Vendas!G:G,Produtos!C36)</f>
        <v>300</v>
      </c>
      <c r="R36" s="37">
        <f>SUMIFS(Vendas!F:F,Vendas!E:E,6,Vendas!G:G,Produtos!C36)</f>
        <v>400</v>
      </c>
      <c r="S36" s="37">
        <f>SUMIFS(Vendas!F:F,Vendas!E:E,7,Vendas!G:G,Produtos!C36)</f>
        <v>300</v>
      </c>
      <c r="T36" s="37">
        <f>SUMIFS(Vendas!F:F,Vendas!E:E,8,Vendas!G:G,Produtos!C36)</f>
        <v>300</v>
      </c>
      <c r="U36" s="37">
        <f>SUMIFS(Vendas!F:F,Vendas!E:E,9,Vendas!G:G,Produtos!C36)</f>
        <v>500</v>
      </c>
      <c r="V36" s="37">
        <f>SUMIFS(Vendas!F:F,Vendas!E:E,10,Vendas!G:G,Produtos!C36)</f>
        <v>300</v>
      </c>
      <c r="W36" s="37">
        <f>SUMIFS(Vendas!F:F,Vendas!E:E,11,Vendas!G:G,Produtos!C36)</f>
        <v>500</v>
      </c>
      <c r="X36" s="37">
        <f>SUMIFS(Vendas!F:F,Vendas!E:E,12,Vendas!G:G,Produtos!C36)</f>
        <v>200</v>
      </c>
    </row>
    <row r="37" spans="3:24" ht="21.9" customHeight="1" x14ac:dyDescent="0.3">
      <c r="C37" s="33" t="s">
        <v>94</v>
      </c>
      <c r="D37" s="33" t="s">
        <v>192</v>
      </c>
      <c r="E37" s="33" t="s">
        <v>207</v>
      </c>
      <c r="F37" s="34" t="s">
        <v>216</v>
      </c>
      <c r="G37" s="34" t="s">
        <v>187</v>
      </c>
      <c r="H37" s="35" t="s">
        <v>232</v>
      </c>
      <c r="I37" s="36">
        <v>100</v>
      </c>
      <c r="J37" s="36">
        <v>300</v>
      </c>
      <c r="K37" s="67">
        <f>COUNTIF(Vendas!G:G,Produtos!C37)</f>
        <v>22</v>
      </c>
      <c r="L37" s="42">
        <f>SUMIF(Vendas!G:G,Produtos!C37,Vendas!F:F)</f>
        <v>14400</v>
      </c>
      <c r="M37" s="37">
        <f>SUMIFS(Vendas!F:F,Vendas!E:E,1,Vendas!G:G,Produtos!C37)</f>
        <v>1200</v>
      </c>
      <c r="N37" s="37">
        <f>SUMIFS(Vendas!F:F,Vendas!E:E,2,Vendas!G:G,Produtos!C37)</f>
        <v>900</v>
      </c>
      <c r="O37" s="37">
        <f>SUMIFS(Vendas!F:F,Vendas!E:E,3,Vendas!G:G,Produtos!C37)</f>
        <v>900</v>
      </c>
      <c r="P37" s="37">
        <f>SUMIFS(Vendas!F:F,Vendas!E:E,4,Vendas!G:G,Produtos!C37)</f>
        <v>1500</v>
      </c>
      <c r="Q37" s="37">
        <f>SUMIFS(Vendas!F:F,Vendas!E:E,5,Vendas!G:G,Produtos!C37)</f>
        <v>1200</v>
      </c>
      <c r="R37" s="37">
        <f>SUMIFS(Vendas!F:F,Vendas!E:E,6,Vendas!G:G,Produtos!C37)</f>
        <v>1200</v>
      </c>
      <c r="S37" s="37">
        <f>SUMIFS(Vendas!F:F,Vendas!E:E,7,Vendas!G:G,Produtos!C37)</f>
        <v>300</v>
      </c>
      <c r="T37" s="37">
        <f>SUMIFS(Vendas!F:F,Vendas!E:E,8,Vendas!G:G,Produtos!C37)</f>
        <v>1800</v>
      </c>
      <c r="U37" s="37">
        <f>SUMIFS(Vendas!F:F,Vendas!E:E,9,Vendas!G:G,Produtos!C37)</f>
        <v>1500</v>
      </c>
      <c r="V37" s="37">
        <f>SUMIFS(Vendas!F:F,Vendas!E:E,10,Vendas!G:G,Produtos!C37)</f>
        <v>1800</v>
      </c>
      <c r="W37" s="37">
        <f>SUMIFS(Vendas!F:F,Vendas!E:E,11,Vendas!G:G,Produtos!C37)</f>
        <v>900</v>
      </c>
      <c r="X37" s="37">
        <f>SUMIFS(Vendas!F:F,Vendas!E:E,12,Vendas!G:G,Produtos!C37)</f>
        <v>1200</v>
      </c>
    </row>
    <row r="38" spans="3:24" ht="21.9" customHeight="1" x14ac:dyDescent="0.3">
      <c r="C38" s="33" t="s">
        <v>93</v>
      </c>
      <c r="D38" s="33" t="s">
        <v>193</v>
      </c>
      <c r="E38" s="33" t="s">
        <v>208</v>
      </c>
      <c r="F38" s="34" t="s">
        <v>218</v>
      </c>
      <c r="G38" s="34" t="s">
        <v>187</v>
      </c>
      <c r="H38" s="35" t="s">
        <v>525</v>
      </c>
      <c r="I38" s="36">
        <v>200</v>
      </c>
      <c r="J38" s="36">
        <v>350</v>
      </c>
      <c r="K38" s="67">
        <f>COUNTIF(Vendas!G:G,Produtos!C38)</f>
        <v>22</v>
      </c>
      <c r="L38" s="42">
        <f>SUMIF(Vendas!G:G,Produtos!C38,Vendas!F:F)</f>
        <v>14350</v>
      </c>
      <c r="M38" s="37">
        <f>SUMIFS(Vendas!F:F,Vendas!E:E,1,Vendas!G:G,Produtos!C38)</f>
        <v>700</v>
      </c>
      <c r="N38" s="37">
        <f>SUMIFS(Vendas!F:F,Vendas!E:E,2,Vendas!G:G,Produtos!C38)</f>
        <v>2100</v>
      </c>
      <c r="O38" s="37">
        <f>SUMIFS(Vendas!F:F,Vendas!E:E,3,Vendas!G:G,Produtos!C38)</f>
        <v>350</v>
      </c>
      <c r="P38" s="37">
        <f>SUMIFS(Vendas!F:F,Vendas!E:E,4,Vendas!G:G,Produtos!C38)</f>
        <v>1750</v>
      </c>
      <c r="Q38" s="37">
        <f>SUMIFS(Vendas!F:F,Vendas!E:E,5,Vendas!G:G,Produtos!C38)</f>
        <v>1050</v>
      </c>
      <c r="R38" s="37">
        <f>SUMIFS(Vendas!F:F,Vendas!E:E,6,Vendas!G:G,Produtos!C38)</f>
        <v>1400</v>
      </c>
      <c r="S38" s="37">
        <f>SUMIFS(Vendas!F:F,Vendas!E:E,7,Vendas!G:G,Produtos!C38)</f>
        <v>1050</v>
      </c>
      <c r="T38" s="37">
        <f>SUMIFS(Vendas!F:F,Vendas!E:E,8,Vendas!G:G,Produtos!C38)</f>
        <v>1750</v>
      </c>
      <c r="U38" s="37">
        <f>SUMIFS(Vendas!F:F,Vendas!E:E,9,Vendas!G:G,Produtos!C38)</f>
        <v>1400</v>
      </c>
      <c r="V38" s="37">
        <f>SUMIFS(Vendas!F:F,Vendas!E:E,10,Vendas!G:G,Produtos!C38)</f>
        <v>1050</v>
      </c>
      <c r="W38" s="37">
        <f>SUMIFS(Vendas!F:F,Vendas!E:E,11,Vendas!G:G,Produtos!C38)</f>
        <v>1050</v>
      </c>
      <c r="X38" s="37">
        <f>SUMIFS(Vendas!F:F,Vendas!E:E,12,Vendas!G:G,Produtos!C38)</f>
        <v>700</v>
      </c>
    </row>
    <row r="39" spans="3:24" ht="21.9" customHeight="1" x14ac:dyDescent="0.3">
      <c r="C39" s="33" t="s">
        <v>92</v>
      </c>
      <c r="D39" s="33" t="s">
        <v>225</v>
      </c>
      <c r="E39" s="33" t="s">
        <v>207</v>
      </c>
      <c r="F39" s="34" t="s">
        <v>219</v>
      </c>
      <c r="G39" s="34" t="s">
        <v>226</v>
      </c>
      <c r="H39" s="35" t="s">
        <v>525</v>
      </c>
      <c r="I39" s="36">
        <v>200</v>
      </c>
      <c r="J39" s="36">
        <v>270</v>
      </c>
      <c r="K39" s="67">
        <f>COUNTIF(Vendas!G:G,Produtos!C39)</f>
        <v>22</v>
      </c>
      <c r="L39" s="42">
        <f>SUMIF(Vendas!G:G,Produtos!C39,Vendas!F:F)</f>
        <v>9990</v>
      </c>
      <c r="M39" s="37">
        <f>SUMIFS(Vendas!F:F,Vendas!E:E,1,Vendas!G:G,Produtos!C39)</f>
        <v>540</v>
      </c>
      <c r="N39" s="37">
        <f>SUMIFS(Vendas!F:F,Vendas!E:E,2,Vendas!G:G,Produtos!C39)</f>
        <v>1350</v>
      </c>
      <c r="O39" s="37">
        <f>SUMIFS(Vendas!F:F,Vendas!E:E,3,Vendas!G:G,Produtos!C39)</f>
        <v>270</v>
      </c>
      <c r="P39" s="37">
        <f>SUMIFS(Vendas!F:F,Vendas!E:E,4,Vendas!G:G,Produtos!C39)</f>
        <v>810</v>
      </c>
      <c r="Q39" s="37">
        <f>SUMIFS(Vendas!F:F,Vendas!E:E,5,Vendas!G:G,Produtos!C39)</f>
        <v>810</v>
      </c>
      <c r="R39" s="37">
        <f>SUMIFS(Vendas!F:F,Vendas!E:E,6,Vendas!G:G,Produtos!C39)</f>
        <v>1080</v>
      </c>
      <c r="S39" s="37">
        <f>SUMIFS(Vendas!F:F,Vendas!E:E,7,Vendas!G:G,Produtos!C39)</f>
        <v>540</v>
      </c>
      <c r="T39" s="37">
        <f>SUMIFS(Vendas!F:F,Vendas!E:E,8,Vendas!G:G,Produtos!C39)</f>
        <v>810</v>
      </c>
      <c r="U39" s="37">
        <f>SUMIFS(Vendas!F:F,Vendas!E:E,9,Vendas!G:G,Produtos!C39)</f>
        <v>1080</v>
      </c>
      <c r="V39" s="37">
        <f>SUMIFS(Vendas!F:F,Vendas!E:E,10,Vendas!G:G,Produtos!C39)</f>
        <v>1080</v>
      </c>
      <c r="W39" s="37">
        <f>SUMIFS(Vendas!F:F,Vendas!E:E,11,Vendas!G:G,Produtos!C39)</f>
        <v>1080</v>
      </c>
      <c r="X39" s="37">
        <f>SUMIFS(Vendas!F:F,Vendas!E:E,12,Vendas!G:G,Produtos!C39)</f>
        <v>540</v>
      </c>
    </row>
    <row r="40" spans="3:24" ht="21.9" customHeight="1" x14ac:dyDescent="0.3">
      <c r="C40" s="33" t="s">
        <v>91</v>
      </c>
      <c r="D40" s="33" t="s">
        <v>194</v>
      </c>
      <c r="E40" s="33" t="s">
        <v>209</v>
      </c>
      <c r="F40" s="34" t="s">
        <v>219</v>
      </c>
      <c r="G40" s="34" t="s">
        <v>187</v>
      </c>
      <c r="H40" s="35" t="s">
        <v>525</v>
      </c>
      <c r="I40" s="36">
        <v>300</v>
      </c>
      <c r="J40" s="36">
        <v>500</v>
      </c>
      <c r="K40" s="67">
        <f>COUNTIF(Vendas!G:G,Produtos!C40)</f>
        <v>24</v>
      </c>
      <c r="L40" s="42">
        <f>SUMIF(Vendas!G:G,Produtos!C40,Vendas!F:F)</f>
        <v>25000</v>
      </c>
      <c r="M40" s="37">
        <f>SUMIFS(Vendas!F:F,Vendas!E:E,1,Vendas!G:G,Produtos!C40)</f>
        <v>2500</v>
      </c>
      <c r="N40" s="37">
        <f>SUMIFS(Vendas!F:F,Vendas!E:E,2,Vendas!G:G,Produtos!C40)</f>
        <v>3000</v>
      </c>
      <c r="O40" s="37">
        <f>SUMIFS(Vendas!F:F,Vendas!E:E,3,Vendas!G:G,Produtos!C40)</f>
        <v>2000</v>
      </c>
      <c r="P40" s="37">
        <f>SUMIFS(Vendas!F:F,Vendas!E:E,4,Vendas!G:G,Produtos!C40)</f>
        <v>2500</v>
      </c>
      <c r="Q40" s="37">
        <f>SUMIFS(Vendas!F:F,Vendas!E:E,5,Vendas!G:G,Produtos!C40)</f>
        <v>2000</v>
      </c>
      <c r="R40" s="37">
        <f>SUMIFS(Vendas!F:F,Vendas!E:E,6,Vendas!G:G,Produtos!C40)</f>
        <v>2000</v>
      </c>
      <c r="S40" s="37">
        <f>SUMIFS(Vendas!F:F,Vendas!E:E,7,Vendas!G:G,Produtos!C40)</f>
        <v>1000</v>
      </c>
      <c r="T40" s="37">
        <f>SUMIFS(Vendas!F:F,Vendas!E:E,8,Vendas!G:G,Produtos!C40)</f>
        <v>2000</v>
      </c>
      <c r="U40" s="37">
        <f>SUMIFS(Vendas!F:F,Vendas!E:E,9,Vendas!G:G,Produtos!C40)</f>
        <v>2000</v>
      </c>
      <c r="V40" s="37">
        <f>SUMIFS(Vendas!F:F,Vendas!E:E,10,Vendas!G:G,Produtos!C40)</f>
        <v>2000</v>
      </c>
      <c r="W40" s="37">
        <f>SUMIFS(Vendas!F:F,Vendas!E:E,11,Vendas!G:G,Produtos!C40)</f>
        <v>2000</v>
      </c>
      <c r="X40" s="37">
        <f>SUMIFS(Vendas!F:F,Vendas!E:E,12,Vendas!G:G,Produtos!C40)</f>
        <v>2000</v>
      </c>
    </row>
    <row r="41" spans="3:24" ht="21.9" customHeight="1" x14ac:dyDescent="0.3">
      <c r="C41" s="33" t="s">
        <v>90</v>
      </c>
      <c r="D41" s="33" t="s">
        <v>188</v>
      </c>
      <c r="E41" s="33" t="s">
        <v>209</v>
      </c>
      <c r="F41" s="34" t="s">
        <v>220</v>
      </c>
      <c r="G41" s="34" t="s">
        <v>187</v>
      </c>
      <c r="H41" s="35" t="s">
        <v>220</v>
      </c>
      <c r="I41" s="36">
        <v>200</v>
      </c>
      <c r="J41" s="36">
        <v>900</v>
      </c>
      <c r="K41" s="67">
        <f>COUNTIF(Vendas!G:G,Produtos!C41)</f>
        <v>24</v>
      </c>
      <c r="L41" s="42">
        <f>SUMIF(Vendas!G:G,Produtos!C41,Vendas!F:F)</f>
        <v>45900</v>
      </c>
      <c r="M41" s="37">
        <f>SUMIFS(Vendas!F:F,Vendas!E:E,1,Vendas!G:G,Produtos!C41)</f>
        <v>3600</v>
      </c>
      <c r="N41" s="37">
        <f>SUMIFS(Vendas!F:F,Vendas!E:E,2,Vendas!G:G,Produtos!C41)</f>
        <v>4500</v>
      </c>
      <c r="O41" s="37">
        <f>SUMIFS(Vendas!F:F,Vendas!E:E,3,Vendas!G:G,Produtos!C41)</f>
        <v>3600</v>
      </c>
      <c r="P41" s="37">
        <f>SUMIFS(Vendas!F:F,Vendas!E:E,4,Vendas!G:G,Produtos!C41)</f>
        <v>1800</v>
      </c>
      <c r="Q41" s="37">
        <f>SUMIFS(Vendas!F:F,Vendas!E:E,5,Vendas!G:G,Produtos!C41)</f>
        <v>2700</v>
      </c>
      <c r="R41" s="37">
        <f>SUMIFS(Vendas!F:F,Vendas!E:E,6,Vendas!G:G,Produtos!C41)</f>
        <v>3600</v>
      </c>
      <c r="S41" s="37">
        <f>SUMIFS(Vendas!F:F,Vendas!E:E,7,Vendas!G:G,Produtos!C41)</f>
        <v>4500</v>
      </c>
      <c r="T41" s="37">
        <f>SUMIFS(Vendas!F:F,Vendas!E:E,8,Vendas!G:G,Produtos!C41)</f>
        <v>5400</v>
      </c>
      <c r="U41" s="37">
        <f>SUMIFS(Vendas!F:F,Vendas!E:E,9,Vendas!G:G,Produtos!C41)</f>
        <v>3600</v>
      </c>
      <c r="V41" s="37">
        <f>SUMIFS(Vendas!F:F,Vendas!E:E,10,Vendas!G:G,Produtos!C41)</f>
        <v>4500</v>
      </c>
      <c r="W41" s="37">
        <f>SUMIFS(Vendas!F:F,Vendas!E:E,11,Vendas!G:G,Produtos!C41)</f>
        <v>3600</v>
      </c>
      <c r="X41" s="37">
        <f>SUMIFS(Vendas!F:F,Vendas!E:E,12,Vendas!G:G,Produtos!C41)</f>
        <v>4500</v>
      </c>
    </row>
    <row r="42" spans="3:24" ht="21.9" customHeight="1" x14ac:dyDescent="0.3">
      <c r="C42" s="33" t="s">
        <v>89</v>
      </c>
      <c r="D42" s="33" t="s">
        <v>195</v>
      </c>
      <c r="E42" s="33" t="s">
        <v>207</v>
      </c>
      <c r="F42" s="34" t="s">
        <v>223</v>
      </c>
      <c r="G42" s="34" t="s">
        <v>226</v>
      </c>
      <c r="H42" s="35" t="s">
        <v>220</v>
      </c>
      <c r="I42" s="36">
        <v>30</v>
      </c>
      <c r="J42" s="36">
        <v>60</v>
      </c>
      <c r="K42" s="67">
        <f>COUNTIF(Vendas!G:G,Produtos!C42)</f>
        <v>24</v>
      </c>
      <c r="L42" s="42">
        <f>SUMIF(Vendas!G:G,Produtos!C42,Vendas!F:F)</f>
        <v>2700</v>
      </c>
      <c r="M42" s="37">
        <f>SUMIFS(Vendas!F:F,Vendas!E:E,1,Vendas!G:G,Produtos!C42)</f>
        <v>300</v>
      </c>
      <c r="N42" s="37">
        <f>SUMIFS(Vendas!F:F,Vendas!E:E,2,Vendas!G:G,Produtos!C42)</f>
        <v>180</v>
      </c>
      <c r="O42" s="37">
        <f>SUMIFS(Vendas!F:F,Vendas!E:E,3,Vendas!G:G,Produtos!C42)</f>
        <v>360</v>
      </c>
      <c r="P42" s="37">
        <f>SUMIFS(Vendas!F:F,Vendas!E:E,4,Vendas!G:G,Produtos!C42)</f>
        <v>240</v>
      </c>
      <c r="Q42" s="37">
        <f>SUMIFS(Vendas!F:F,Vendas!E:E,5,Vendas!G:G,Produtos!C42)</f>
        <v>240</v>
      </c>
      <c r="R42" s="37">
        <f>SUMIFS(Vendas!F:F,Vendas!E:E,6,Vendas!G:G,Produtos!C42)</f>
        <v>120</v>
      </c>
      <c r="S42" s="37">
        <f>SUMIFS(Vendas!F:F,Vendas!E:E,7,Vendas!G:G,Produtos!C42)</f>
        <v>180</v>
      </c>
      <c r="T42" s="37">
        <f>SUMIFS(Vendas!F:F,Vendas!E:E,8,Vendas!G:G,Produtos!C42)</f>
        <v>240</v>
      </c>
      <c r="U42" s="37">
        <f>SUMIFS(Vendas!F:F,Vendas!E:E,9,Vendas!G:G,Produtos!C42)</f>
        <v>180</v>
      </c>
      <c r="V42" s="37">
        <f>SUMIFS(Vendas!F:F,Vendas!E:E,10,Vendas!G:G,Produtos!C42)</f>
        <v>180</v>
      </c>
      <c r="W42" s="37">
        <f>SUMIFS(Vendas!F:F,Vendas!E:E,11,Vendas!G:G,Produtos!C42)</f>
        <v>300</v>
      </c>
      <c r="X42" s="37">
        <f>SUMIFS(Vendas!F:F,Vendas!E:E,12,Vendas!G:G,Produtos!C42)</f>
        <v>180</v>
      </c>
    </row>
    <row r="43" spans="3:24" ht="21.9" customHeight="1" x14ac:dyDescent="0.3">
      <c r="C43" s="33" t="s">
        <v>88</v>
      </c>
      <c r="D43" s="33" t="s">
        <v>196</v>
      </c>
      <c r="E43" s="33" t="s">
        <v>208</v>
      </c>
      <c r="F43" s="34" t="s">
        <v>216</v>
      </c>
      <c r="G43" s="34" t="s">
        <v>226</v>
      </c>
      <c r="H43" s="35" t="s">
        <v>230</v>
      </c>
      <c r="I43" s="36">
        <v>20</v>
      </c>
      <c r="J43" s="36">
        <v>70</v>
      </c>
      <c r="K43" s="67">
        <f>COUNTIF(Vendas!G:G,Produtos!C43)</f>
        <v>24</v>
      </c>
      <c r="L43" s="42">
        <f>SUMIF(Vendas!G:G,Produtos!C43,Vendas!F:F)</f>
        <v>3150</v>
      </c>
      <c r="M43" s="37">
        <f>SUMIFS(Vendas!F:F,Vendas!E:E,1,Vendas!G:G,Produtos!C43)</f>
        <v>140</v>
      </c>
      <c r="N43" s="37">
        <f>SUMIFS(Vendas!F:F,Vendas!E:E,2,Vendas!G:G,Produtos!C43)</f>
        <v>280</v>
      </c>
      <c r="O43" s="37">
        <f>SUMIFS(Vendas!F:F,Vendas!E:E,3,Vendas!G:G,Produtos!C43)</f>
        <v>350</v>
      </c>
      <c r="P43" s="37">
        <f>SUMIFS(Vendas!F:F,Vendas!E:E,4,Vendas!G:G,Produtos!C43)</f>
        <v>350</v>
      </c>
      <c r="Q43" s="37">
        <f>SUMIFS(Vendas!F:F,Vendas!E:E,5,Vendas!G:G,Produtos!C43)</f>
        <v>280</v>
      </c>
      <c r="R43" s="37">
        <f>SUMIFS(Vendas!F:F,Vendas!E:E,6,Vendas!G:G,Produtos!C43)</f>
        <v>350</v>
      </c>
      <c r="S43" s="37">
        <f>SUMIFS(Vendas!F:F,Vendas!E:E,7,Vendas!G:G,Produtos!C43)</f>
        <v>210</v>
      </c>
      <c r="T43" s="37">
        <f>SUMIFS(Vendas!F:F,Vendas!E:E,8,Vendas!G:G,Produtos!C43)</f>
        <v>140</v>
      </c>
      <c r="U43" s="37">
        <f>SUMIFS(Vendas!F:F,Vendas!E:E,9,Vendas!G:G,Produtos!C43)</f>
        <v>280</v>
      </c>
      <c r="V43" s="37">
        <f>SUMIFS(Vendas!F:F,Vendas!E:E,10,Vendas!G:G,Produtos!C43)</f>
        <v>350</v>
      </c>
      <c r="W43" s="37">
        <f>SUMIFS(Vendas!F:F,Vendas!E:E,11,Vendas!G:G,Produtos!C43)</f>
        <v>210</v>
      </c>
      <c r="X43" s="37">
        <f>SUMIFS(Vendas!F:F,Vendas!E:E,12,Vendas!G:G,Produtos!C43)</f>
        <v>210</v>
      </c>
    </row>
    <row r="44" spans="3:24" ht="21.9" customHeight="1" x14ac:dyDescent="0.3">
      <c r="C44" s="33" t="s">
        <v>87</v>
      </c>
      <c r="D44" s="33" t="s">
        <v>197</v>
      </c>
      <c r="E44" s="33" t="s">
        <v>208</v>
      </c>
      <c r="F44" s="34" t="s">
        <v>222</v>
      </c>
      <c r="G44" s="34" t="s">
        <v>226</v>
      </c>
      <c r="H44" s="35" t="s">
        <v>230</v>
      </c>
      <c r="I44" s="36">
        <v>40</v>
      </c>
      <c r="J44" s="36">
        <v>76</v>
      </c>
      <c r="K44" s="67">
        <f>COUNTIF(Vendas!G:G,Produtos!C44)</f>
        <v>24</v>
      </c>
      <c r="L44" s="42">
        <f>SUMIF(Vendas!G:G,Produtos!C44,Vendas!F:F)</f>
        <v>3420</v>
      </c>
      <c r="M44" s="37">
        <f>SUMIFS(Vendas!F:F,Vendas!E:E,1,Vendas!G:G,Produtos!C44)</f>
        <v>304</v>
      </c>
      <c r="N44" s="37">
        <f>SUMIFS(Vendas!F:F,Vendas!E:E,2,Vendas!G:G,Produtos!C44)</f>
        <v>456</v>
      </c>
      <c r="O44" s="37">
        <f>SUMIFS(Vendas!F:F,Vendas!E:E,3,Vendas!G:G,Produtos!C44)</f>
        <v>152</v>
      </c>
      <c r="P44" s="37">
        <f>SUMIFS(Vendas!F:F,Vendas!E:E,4,Vendas!G:G,Produtos!C44)</f>
        <v>304</v>
      </c>
      <c r="Q44" s="37">
        <f>SUMIFS(Vendas!F:F,Vendas!E:E,5,Vendas!G:G,Produtos!C44)</f>
        <v>304</v>
      </c>
      <c r="R44" s="37">
        <f>SUMIFS(Vendas!F:F,Vendas!E:E,6,Vendas!G:G,Produtos!C44)</f>
        <v>228</v>
      </c>
      <c r="S44" s="37">
        <f>SUMIFS(Vendas!F:F,Vendas!E:E,7,Vendas!G:G,Produtos!C44)</f>
        <v>380</v>
      </c>
      <c r="T44" s="37">
        <f>SUMIFS(Vendas!F:F,Vendas!E:E,8,Vendas!G:G,Produtos!C44)</f>
        <v>228</v>
      </c>
      <c r="U44" s="37">
        <f>SUMIFS(Vendas!F:F,Vendas!E:E,9,Vendas!G:G,Produtos!C44)</f>
        <v>228</v>
      </c>
      <c r="V44" s="37">
        <f>SUMIFS(Vendas!F:F,Vendas!E:E,10,Vendas!G:G,Produtos!C44)</f>
        <v>380</v>
      </c>
      <c r="W44" s="37">
        <f>SUMIFS(Vendas!F:F,Vendas!E:E,11,Vendas!G:G,Produtos!C44)</f>
        <v>228</v>
      </c>
      <c r="X44" s="37">
        <f>SUMIFS(Vendas!F:F,Vendas!E:E,12,Vendas!G:G,Produtos!C44)</f>
        <v>228</v>
      </c>
    </row>
    <row r="45" spans="3:24" ht="21.9" customHeight="1" x14ac:dyDescent="0.3">
      <c r="C45" s="33" t="s">
        <v>86</v>
      </c>
      <c r="D45" s="33" t="s">
        <v>198</v>
      </c>
      <c r="E45" s="33" t="s">
        <v>207</v>
      </c>
      <c r="F45" s="34" t="s">
        <v>224</v>
      </c>
      <c r="G45" s="34" t="s">
        <v>228</v>
      </c>
      <c r="H45" s="35" t="s">
        <v>230</v>
      </c>
      <c r="I45" s="36">
        <v>300</v>
      </c>
      <c r="J45" s="36">
        <v>600</v>
      </c>
      <c r="K45" s="67">
        <f>COUNTIF(Vendas!G:G,Produtos!C45)</f>
        <v>25</v>
      </c>
      <c r="L45" s="42">
        <f>SUMIF(Vendas!G:G,Produtos!C45,Vendas!F:F)</f>
        <v>29400</v>
      </c>
      <c r="M45" s="37">
        <f>SUMIFS(Vendas!F:F,Vendas!E:E,1,Vendas!G:G,Produtos!C45)</f>
        <v>3000</v>
      </c>
      <c r="N45" s="37">
        <f>SUMIFS(Vendas!F:F,Vendas!E:E,2,Vendas!G:G,Produtos!C45)</f>
        <v>1800</v>
      </c>
      <c r="O45" s="37">
        <f>SUMIFS(Vendas!F:F,Vendas!E:E,3,Vendas!G:G,Produtos!C45)</f>
        <v>3600</v>
      </c>
      <c r="P45" s="37">
        <f>SUMIFS(Vendas!F:F,Vendas!E:E,4,Vendas!G:G,Produtos!C45)</f>
        <v>2400</v>
      </c>
      <c r="Q45" s="37">
        <f>SUMIFS(Vendas!F:F,Vendas!E:E,5,Vendas!G:G,Produtos!C45)</f>
        <v>1800</v>
      </c>
      <c r="R45" s="37">
        <f>SUMIFS(Vendas!F:F,Vendas!E:E,6,Vendas!G:G,Produtos!C45)</f>
        <v>1800</v>
      </c>
      <c r="S45" s="37">
        <f>SUMIFS(Vendas!F:F,Vendas!E:E,7,Vendas!G:G,Produtos!C45)</f>
        <v>2400</v>
      </c>
      <c r="T45" s="37">
        <f>SUMIFS(Vendas!F:F,Vendas!E:E,8,Vendas!G:G,Produtos!C45)</f>
        <v>1800</v>
      </c>
      <c r="U45" s="37">
        <f>SUMIFS(Vendas!F:F,Vendas!E:E,9,Vendas!G:G,Produtos!C45)</f>
        <v>3600</v>
      </c>
      <c r="V45" s="37">
        <f>SUMIFS(Vendas!F:F,Vendas!E:E,10,Vendas!G:G,Produtos!C45)</f>
        <v>1800</v>
      </c>
      <c r="W45" s="37">
        <f>SUMIFS(Vendas!F:F,Vendas!E:E,11,Vendas!G:G,Produtos!C45)</f>
        <v>2400</v>
      </c>
      <c r="X45" s="37">
        <f>SUMIFS(Vendas!F:F,Vendas!E:E,12,Vendas!G:G,Produtos!C45)</f>
        <v>3000</v>
      </c>
    </row>
    <row r="46" spans="3:24" ht="21.9" customHeight="1" x14ac:dyDescent="0.3">
      <c r="C46" s="33" t="s">
        <v>85</v>
      </c>
      <c r="D46" s="33" t="s">
        <v>199</v>
      </c>
      <c r="E46" s="33" t="s">
        <v>209</v>
      </c>
      <c r="F46" s="34" t="s">
        <v>216</v>
      </c>
      <c r="G46" s="34" t="s">
        <v>228</v>
      </c>
      <c r="H46" s="35" t="s">
        <v>221</v>
      </c>
      <c r="I46" s="36">
        <v>50</v>
      </c>
      <c r="J46" s="36">
        <v>170</v>
      </c>
      <c r="K46" s="67">
        <f>COUNTIF(Vendas!G:G,Produtos!C46)</f>
        <v>25</v>
      </c>
      <c r="L46" s="42">
        <f>SUMIF(Vendas!G:G,Produtos!C46,Vendas!F:F)</f>
        <v>8670</v>
      </c>
      <c r="M46" s="37">
        <f>SUMIFS(Vendas!F:F,Vendas!E:E,1,Vendas!G:G,Produtos!C46)</f>
        <v>850</v>
      </c>
      <c r="N46" s="37">
        <f>SUMIFS(Vendas!F:F,Vendas!E:E,2,Vendas!G:G,Produtos!C46)</f>
        <v>510</v>
      </c>
      <c r="O46" s="37">
        <f>SUMIFS(Vendas!F:F,Vendas!E:E,3,Vendas!G:G,Produtos!C46)</f>
        <v>680</v>
      </c>
      <c r="P46" s="37">
        <f>SUMIFS(Vendas!F:F,Vendas!E:E,4,Vendas!G:G,Produtos!C46)</f>
        <v>340</v>
      </c>
      <c r="Q46" s="37">
        <f>SUMIFS(Vendas!F:F,Vendas!E:E,5,Vendas!G:G,Produtos!C46)</f>
        <v>850</v>
      </c>
      <c r="R46" s="37">
        <f>SUMIFS(Vendas!F:F,Vendas!E:E,6,Vendas!G:G,Produtos!C46)</f>
        <v>680</v>
      </c>
      <c r="S46" s="37">
        <f>SUMIFS(Vendas!F:F,Vendas!E:E,7,Vendas!G:G,Produtos!C46)</f>
        <v>1020</v>
      </c>
      <c r="T46" s="37">
        <f>SUMIFS(Vendas!F:F,Vendas!E:E,8,Vendas!G:G,Produtos!C46)</f>
        <v>680</v>
      </c>
      <c r="U46" s="37">
        <f>SUMIFS(Vendas!F:F,Vendas!E:E,9,Vendas!G:G,Produtos!C46)</f>
        <v>510</v>
      </c>
      <c r="V46" s="37">
        <f>SUMIFS(Vendas!F:F,Vendas!E:E,10,Vendas!G:G,Produtos!C46)</f>
        <v>680</v>
      </c>
      <c r="W46" s="37">
        <f>SUMIFS(Vendas!F:F,Vendas!E:E,11,Vendas!G:G,Produtos!C46)</f>
        <v>850</v>
      </c>
      <c r="X46" s="37">
        <f>SUMIFS(Vendas!F:F,Vendas!E:E,12,Vendas!G:G,Produtos!C46)</f>
        <v>1020</v>
      </c>
    </row>
    <row r="47" spans="3:24" ht="21.9" customHeight="1" x14ac:dyDescent="0.3">
      <c r="C47" s="33" t="s">
        <v>84</v>
      </c>
      <c r="D47" s="33" t="s">
        <v>200</v>
      </c>
      <c r="E47" s="33" t="s">
        <v>208</v>
      </c>
      <c r="F47" s="34" t="s">
        <v>222</v>
      </c>
      <c r="G47" s="34" t="s">
        <v>228</v>
      </c>
      <c r="H47" s="35" t="s">
        <v>220</v>
      </c>
      <c r="I47" s="36">
        <v>200</v>
      </c>
      <c r="J47" s="36">
        <v>400</v>
      </c>
      <c r="K47" s="67">
        <f>COUNTIF(Vendas!G:G,Produtos!C47)</f>
        <v>25</v>
      </c>
      <c r="L47" s="42">
        <f>SUMIF(Vendas!G:G,Produtos!C47,Vendas!F:F)</f>
        <v>20000</v>
      </c>
      <c r="M47" s="37">
        <f>SUMIFS(Vendas!F:F,Vendas!E:E,1,Vendas!G:G,Produtos!C47)</f>
        <v>2000</v>
      </c>
      <c r="N47" s="37">
        <f>SUMIFS(Vendas!F:F,Vendas!E:E,2,Vendas!G:G,Produtos!C47)</f>
        <v>2000</v>
      </c>
      <c r="O47" s="37">
        <f>SUMIFS(Vendas!F:F,Vendas!E:E,3,Vendas!G:G,Produtos!C47)</f>
        <v>1600</v>
      </c>
      <c r="P47" s="37">
        <f>SUMIFS(Vendas!F:F,Vendas!E:E,4,Vendas!G:G,Produtos!C47)</f>
        <v>1600</v>
      </c>
      <c r="Q47" s="37">
        <f>SUMIFS(Vendas!F:F,Vendas!E:E,5,Vendas!G:G,Produtos!C47)</f>
        <v>1600</v>
      </c>
      <c r="R47" s="37">
        <f>SUMIFS(Vendas!F:F,Vendas!E:E,6,Vendas!G:G,Produtos!C47)</f>
        <v>1600</v>
      </c>
      <c r="S47" s="37">
        <f>SUMIFS(Vendas!F:F,Vendas!E:E,7,Vendas!G:G,Produtos!C47)</f>
        <v>1600</v>
      </c>
      <c r="T47" s="37">
        <f>SUMIFS(Vendas!F:F,Vendas!E:E,8,Vendas!G:G,Produtos!C47)</f>
        <v>1200</v>
      </c>
      <c r="U47" s="37">
        <f>SUMIFS(Vendas!F:F,Vendas!E:E,9,Vendas!G:G,Produtos!C47)</f>
        <v>1600</v>
      </c>
      <c r="V47" s="37">
        <f>SUMIFS(Vendas!F:F,Vendas!E:E,10,Vendas!G:G,Produtos!C47)</f>
        <v>2000</v>
      </c>
      <c r="W47" s="37">
        <f>SUMIFS(Vendas!F:F,Vendas!E:E,11,Vendas!G:G,Produtos!C47)</f>
        <v>1200</v>
      </c>
      <c r="X47" s="37">
        <f>SUMIFS(Vendas!F:F,Vendas!E:E,12,Vendas!G:G,Produtos!C47)</f>
        <v>2000</v>
      </c>
    </row>
    <row r="48" spans="3:24" ht="21.9" customHeight="1" x14ac:dyDescent="0.3">
      <c r="C48" s="33" t="s">
        <v>83</v>
      </c>
      <c r="D48" s="33" t="s">
        <v>201</v>
      </c>
      <c r="E48" s="33" t="s">
        <v>208</v>
      </c>
      <c r="F48" s="34" t="s">
        <v>222</v>
      </c>
      <c r="G48" s="34" t="s">
        <v>226</v>
      </c>
      <c r="H48" s="35" t="s">
        <v>230</v>
      </c>
      <c r="I48" s="36">
        <v>500</v>
      </c>
      <c r="J48" s="36">
        <v>800</v>
      </c>
      <c r="K48" s="67">
        <f>COUNTIF(Vendas!G:G,Produtos!C48)</f>
        <v>25</v>
      </c>
      <c r="L48" s="42">
        <f>SUMIF(Vendas!G:G,Produtos!C48,Vendas!F:F)</f>
        <v>37600</v>
      </c>
      <c r="M48" s="37">
        <f>SUMIFS(Vendas!F:F,Vendas!E:E,1,Vendas!G:G,Produtos!C48)</f>
        <v>3200</v>
      </c>
      <c r="N48" s="37">
        <f>SUMIFS(Vendas!F:F,Vendas!E:E,2,Vendas!G:G,Produtos!C48)</f>
        <v>4000</v>
      </c>
      <c r="O48" s="37">
        <f>SUMIFS(Vendas!F:F,Vendas!E:E,3,Vendas!G:G,Produtos!C48)</f>
        <v>3200</v>
      </c>
      <c r="P48" s="37">
        <f>SUMIFS(Vendas!F:F,Vendas!E:E,4,Vendas!G:G,Produtos!C48)</f>
        <v>1600</v>
      </c>
      <c r="Q48" s="37">
        <f>SUMIFS(Vendas!F:F,Vendas!E:E,5,Vendas!G:G,Produtos!C48)</f>
        <v>2400</v>
      </c>
      <c r="R48" s="37">
        <f>SUMIFS(Vendas!F:F,Vendas!E:E,6,Vendas!G:G,Produtos!C48)</f>
        <v>4000</v>
      </c>
      <c r="S48" s="37">
        <f>SUMIFS(Vendas!F:F,Vendas!E:E,7,Vendas!G:G,Produtos!C48)</f>
        <v>2400</v>
      </c>
      <c r="T48" s="37">
        <f>SUMIFS(Vendas!F:F,Vendas!E:E,8,Vendas!G:G,Produtos!C48)</f>
        <v>1600</v>
      </c>
      <c r="U48" s="37">
        <f>SUMIFS(Vendas!F:F,Vendas!E:E,9,Vendas!G:G,Produtos!C48)</f>
        <v>2400</v>
      </c>
      <c r="V48" s="37">
        <f>SUMIFS(Vendas!F:F,Vendas!E:E,10,Vendas!G:G,Produtos!C48)</f>
        <v>3200</v>
      </c>
      <c r="W48" s="37">
        <f>SUMIFS(Vendas!F:F,Vendas!E:E,11,Vendas!G:G,Produtos!C48)</f>
        <v>3200</v>
      </c>
      <c r="X48" s="37">
        <f>SUMIFS(Vendas!F:F,Vendas!E:E,12,Vendas!G:G,Produtos!C48)</f>
        <v>6400</v>
      </c>
    </row>
    <row r="49" spans="3:24" ht="21.9" customHeight="1" x14ac:dyDescent="0.3">
      <c r="C49" s="33" t="s">
        <v>82</v>
      </c>
      <c r="D49" s="33" t="s">
        <v>202</v>
      </c>
      <c r="E49" s="33" t="s">
        <v>207</v>
      </c>
      <c r="F49" s="34" t="s">
        <v>222</v>
      </c>
      <c r="G49" s="34" t="s">
        <v>226</v>
      </c>
      <c r="H49" s="35" t="s">
        <v>230</v>
      </c>
      <c r="I49" s="36">
        <v>250</v>
      </c>
      <c r="J49" s="36">
        <v>400</v>
      </c>
      <c r="K49" s="67">
        <f>COUNTIF(Vendas!G:G,Produtos!C49)</f>
        <v>25</v>
      </c>
      <c r="L49" s="42">
        <f>SUMIF(Vendas!G:G,Produtos!C49,Vendas!F:F)</f>
        <v>22000</v>
      </c>
      <c r="M49" s="37">
        <f>SUMIFS(Vendas!F:F,Vendas!E:E,1,Vendas!G:G,Produtos!C49)</f>
        <v>2000</v>
      </c>
      <c r="N49" s="37">
        <f>SUMIFS(Vendas!F:F,Vendas!E:E,2,Vendas!G:G,Produtos!C49)</f>
        <v>1200</v>
      </c>
      <c r="O49" s="37">
        <f>SUMIFS(Vendas!F:F,Vendas!E:E,3,Vendas!G:G,Produtos!C49)</f>
        <v>1600</v>
      </c>
      <c r="P49" s="37">
        <f>SUMIFS(Vendas!F:F,Vendas!E:E,4,Vendas!G:G,Produtos!C49)</f>
        <v>2400</v>
      </c>
      <c r="Q49" s="37">
        <f>SUMIFS(Vendas!F:F,Vendas!E:E,5,Vendas!G:G,Produtos!C49)</f>
        <v>1600</v>
      </c>
      <c r="R49" s="37">
        <f>SUMIFS(Vendas!F:F,Vendas!E:E,6,Vendas!G:G,Produtos!C49)</f>
        <v>1200</v>
      </c>
      <c r="S49" s="37">
        <f>SUMIFS(Vendas!F:F,Vendas!E:E,7,Vendas!G:G,Produtos!C49)</f>
        <v>1600</v>
      </c>
      <c r="T49" s="37">
        <f>SUMIFS(Vendas!F:F,Vendas!E:E,8,Vendas!G:G,Produtos!C49)</f>
        <v>2000</v>
      </c>
      <c r="U49" s="37">
        <f>SUMIFS(Vendas!F:F,Vendas!E:E,9,Vendas!G:G,Produtos!C49)</f>
        <v>2000</v>
      </c>
      <c r="V49" s="37">
        <f>SUMIFS(Vendas!F:F,Vendas!E:E,10,Vendas!G:G,Produtos!C49)</f>
        <v>2000</v>
      </c>
      <c r="W49" s="37">
        <f>SUMIFS(Vendas!F:F,Vendas!E:E,11,Vendas!G:G,Produtos!C49)</f>
        <v>2400</v>
      </c>
      <c r="X49" s="37">
        <f>SUMIFS(Vendas!F:F,Vendas!E:E,12,Vendas!G:G,Produtos!C49)</f>
        <v>2000</v>
      </c>
    </row>
    <row r="50" spans="3:24" ht="21.9" customHeight="1" x14ac:dyDescent="0.3">
      <c r="C50" s="33" t="s">
        <v>81</v>
      </c>
      <c r="D50" s="33" t="s">
        <v>203</v>
      </c>
      <c r="E50" s="33" t="s">
        <v>207</v>
      </c>
      <c r="F50" s="34" t="s">
        <v>223</v>
      </c>
      <c r="G50" s="34" t="s">
        <v>226</v>
      </c>
      <c r="H50" s="35" t="s">
        <v>230</v>
      </c>
      <c r="I50" s="36">
        <v>100</v>
      </c>
      <c r="J50" s="36">
        <v>250</v>
      </c>
      <c r="K50" s="67">
        <f>COUNTIF(Vendas!G:G,Produtos!C50)</f>
        <v>25</v>
      </c>
      <c r="L50" s="42">
        <f>SUMIF(Vendas!G:G,Produtos!C50,Vendas!F:F)</f>
        <v>13000</v>
      </c>
      <c r="M50" s="37">
        <f>SUMIFS(Vendas!F:F,Vendas!E:E,1,Vendas!G:G,Produtos!C50)</f>
        <v>1000</v>
      </c>
      <c r="N50" s="37">
        <f>SUMIFS(Vendas!F:F,Vendas!E:E,2,Vendas!G:G,Produtos!C50)</f>
        <v>750</v>
      </c>
      <c r="O50" s="37">
        <f>SUMIFS(Vendas!F:F,Vendas!E:E,3,Vendas!G:G,Produtos!C50)</f>
        <v>1250</v>
      </c>
      <c r="P50" s="37">
        <f>SUMIFS(Vendas!F:F,Vendas!E:E,4,Vendas!G:G,Produtos!C50)</f>
        <v>1000</v>
      </c>
      <c r="Q50" s="37">
        <f>SUMIFS(Vendas!F:F,Vendas!E:E,5,Vendas!G:G,Produtos!C50)</f>
        <v>1000</v>
      </c>
      <c r="R50" s="37">
        <f>SUMIFS(Vendas!F:F,Vendas!E:E,6,Vendas!G:G,Produtos!C50)</f>
        <v>1500</v>
      </c>
      <c r="S50" s="37">
        <f>SUMIFS(Vendas!F:F,Vendas!E:E,7,Vendas!G:G,Produtos!C50)</f>
        <v>1250</v>
      </c>
      <c r="T50" s="37">
        <f>SUMIFS(Vendas!F:F,Vendas!E:E,8,Vendas!G:G,Produtos!C50)</f>
        <v>500</v>
      </c>
      <c r="U50" s="37">
        <f>SUMIFS(Vendas!F:F,Vendas!E:E,9,Vendas!G:G,Produtos!C50)</f>
        <v>1000</v>
      </c>
      <c r="V50" s="37">
        <f>SUMIFS(Vendas!F:F,Vendas!E:E,10,Vendas!G:G,Produtos!C50)</f>
        <v>1000</v>
      </c>
      <c r="W50" s="37">
        <f>SUMIFS(Vendas!F:F,Vendas!E:E,11,Vendas!G:G,Produtos!C50)</f>
        <v>750</v>
      </c>
      <c r="X50" s="37">
        <f>SUMIFS(Vendas!F:F,Vendas!E:E,12,Vendas!G:G,Produtos!C50)</f>
        <v>2000</v>
      </c>
    </row>
    <row r="51" spans="3:24" ht="21.9" customHeight="1" x14ac:dyDescent="0.3">
      <c r="C51" s="33" t="s">
        <v>80</v>
      </c>
      <c r="D51" s="33" t="s">
        <v>204</v>
      </c>
      <c r="E51" s="33" t="s">
        <v>207</v>
      </c>
      <c r="F51" s="34" t="s">
        <v>221</v>
      </c>
      <c r="G51" s="34" t="s">
        <v>229</v>
      </c>
      <c r="H51" s="35" t="s">
        <v>221</v>
      </c>
      <c r="I51" s="36">
        <v>25</v>
      </c>
      <c r="J51" s="36">
        <v>40</v>
      </c>
      <c r="K51" s="67">
        <f>COUNTIF(Vendas!G:G,Produtos!C51)</f>
        <v>25</v>
      </c>
      <c r="L51" s="42">
        <f>SUMIF(Vendas!G:G,Produtos!C51,Vendas!F:F)</f>
        <v>2200</v>
      </c>
      <c r="M51" s="37">
        <f>SUMIFS(Vendas!F:F,Vendas!E:E,1,Vendas!G:G,Produtos!C51)</f>
        <v>200</v>
      </c>
      <c r="N51" s="37">
        <f>SUMIFS(Vendas!F:F,Vendas!E:E,2,Vendas!G:G,Produtos!C51)</f>
        <v>240</v>
      </c>
      <c r="O51" s="37">
        <f>SUMIFS(Vendas!F:F,Vendas!E:E,3,Vendas!G:G,Produtos!C51)</f>
        <v>120</v>
      </c>
      <c r="P51" s="37">
        <f>SUMIFS(Vendas!F:F,Vendas!E:E,4,Vendas!G:G,Produtos!C51)</f>
        <v>200</v>
      </c>
      <c r="Q51" s="37">
        <f>SUMIFS(Vendas!F:F,Vendas!E:E,5,Vendas!G:G,Produtos!C51)</f>
        <v>200</v>
      </c>
      <c r="R51" s="37">
        <f>SUMIFS(Vendas!F:F,Vendas!E:E,6,Vendas!G:G,Produtos!C51)</f>
        <v>120</v>
      </c>
      <c r="S51" s="37">
        <f>SUMIFS(Vendas!F:F,Vendas!E:E,7,Vendas!G:G,Produtos!C51)</f>
        <v>240</v>
      </c>
      <c r="T51" s="37">
        <f>SUMIFS(Vendas!F:F,Vendas!E:E,8,Vendas!G:G,Produtos!C51)</f>
        <v>160</v>
      </c>
      <c r="U51" s="37">
        <f>SUMIFS(Vendas!F:F,Vendas!E:E,9,Vendas!G:G,Produtos!C51)</f>
        <v>160</v>
      </c>
      <c r="V51" s="37">
        <f>SUMIFS(Vendas!F:F,Vendas!E:E,10,Vendas!G:G,Produtos!C51)</f>
        <v>160</v>
      </c>
      <c r="W51" s="37">
        <f>SUMIFS(Vendas!F:F,Vendas!E:E,11,Vendas!G:G,Produtos!C51)</f>
        <v>200</v>
      </c>
      <c r="X51" s="37">
        <f>SUMIFS(Vendas!F:F,Vendas!E:E,12,Vendas!G:G,Produtos!C51)</f>
        <v>200</v>
      </c>
    </row>
    <row r="52" spans="3:24" ht="21.9" customHeight="1" x14ac:dyDescent="0.3">
      <c r="C52" s="33" t="s">
        <v>79</v>
      </c>
      <c r="D52" s="33" t="s">
        <v>205</v>
      </c>
      <c r="E52" s="33" t="s">
        <v>207</v>
      </c>
      <c r="F52" s="34" t="s">
        <v>221</v>
      </c>
      <c r="G52" s="34" t="s">
        <v>229</v>
      </c>
      <c r="H52" s="35" t="s">
        <v>221</v>
      </c>
      <c r="I52" s="36">
        <v>15</v>
      </c>
      <c r="J52" s="36">
        <v>35</v>
      </c>
      <c r="K52" s="67">
        <f>COUNTIF(Vendas!G:G,Produtos!C52)</f>
        <v>27</v>
      </c>
      <c r="L52" s="42">
        <f>SUMIF(Vendas!G:G,Produtos!C52,Vendas!F:F)</f>
        <v>1855</v>
      </c>
      <c r="M52" s="37">
        <f>SUMIFS(Vendas!F:F,Vendas!E:E,1,Vendas!G:G,Produtos!C52)</f>
        <v>70</v>
      </c>
      <c r="N52" s="37">
        <f>SUMIFS(Vendas!F:F,Vendas!E:E,2,Vendas!G:G,Produtos!C52)</f>
        <v>140</v>
      </c>
      <c r="O52" s="37">
        <f>SUMIFS(Vendas!F:F,Vendas!E:E,3,Vendas!G:G,Produtos!C52)</f>
        <v>140</v>
      </c>
      <c r="P52" s="37">
        <f>SUMIFS(Vendas!F:F,Vendas!E:E,4,Vendas!G:G,Produtos!C52)</f>
        <v>210</v>
      </c>
      <c r="Q52" s="37">
        <f>SUMIFS(Vendas!F:F,Vendas!E:E,5,Vendas!G:G,Produtos!C52)</f>
        <v>175</v>
      </c>
      <c r="R52" s="37">
        <f>SUMIFS(Vendas!F:F,Vendas!E:E,6,Vendas!G:G,Produtos!C52)</f>
        <v>140</v>
      </c>
      <c r="S52" s="37">
        <f>SUMIFS(Vendas!F:F,Vendas!E:E,7,Vendas!G:G,Produtos!C52)</f>
        <v>105</v>
      </c>
      <c r="T52" s="37">
        <f>SUMIFS(Vendas!F:F,Vendas!E:E,8,Vendas!G:G,Produtos!C52)</f>
        <v>210</v>
      </c>
      <c r="U52" s="37">
        <f>SUMIFS(Vendas!F:F,Vendas!E:E,9,Vendas!G:G,Produtos!C52)</f>
        <v>140</v>
      </c>
      <c r="V52" s="37">
        <f>SUMIFS(Vendas!F:F,Vendas!E:E,10,Vendas!G:G,Produtos!C52)</f>
        <v>210</v>
      </c>
      <c r="W52" s="37">
        <f>SUMIFS(Vendas!F:F,Vendas!E:E,11,Vendas!G:G,Produtos!C52)</f>
        <v>140</v>
      </c>
      <c r="X52" s="37">
        <f>SUMIFS(Vendas!F:F,Vendas!E:E,12,Vendas!G:G,Produtos!C52)</f>
        <v>175</v>
      </c>
    </row>
    <row r="53" spans="3:24" ht="21.9" customHeight="1" x14ac:dyDescent="0.3">
      <c r="C53" s="33" t="s">
        <v>78</v>
      </c>
      <c r="D53" s="33" t="s">
        <v>206</v>
      </c>
      <c r="E53" s="33" t="s">
        <v>207</v>
      </c>
      <c r="F53" s="34" t="s">
        <v>221</v>
      </c>
      <c r="G53" s="34" t="s">
        <v>229</v>
      </c>
      <c r="H53" s="35" t="s">
        <v>221</v>
      </c>
      <c r="I53" s="36">
        <v>10</v>
      </c>
      <c r="J53" s="36">
        <v>30</v>
      </c>
      <c r="K53" s="67">
        <f>COUNTIF(Vendas!G:G,Produtos!C53)</f>
        <v>26</v>
      </c>
      <c r="L53" s="42">
        <f>SUMIF(Vendas!G:G,Produtos!C53,Vendas!F:F)</f>
        <v>1710</v>
      </c>
      <c r="M53" s="37">
        <f>SUMIFS(Vendas!F:F,Vendas!E:E,1,Vendas!G:G,Produtos!C53)</f>
        <v>120</v>
      </c>
      <c r="N53" s="37">
        <f>SUMIFS(Vendas!F:F,Vendas!E:E,2,Vendas!G:G,Produtos!C53)</f>
        <v>120</v>
      </c>
      <c r="O53" s="37">
        <f>SUMIFS(Vendas!F:F,Vendas!E:E,3,Vendas!G:G,Produtos!C53)</f>
        <v>120</v>
      </c>
      <c r="P53" s="37">
        <f>SUMIFS(Vendas!F:F,Vendas!E:E,4,Vendas!G:G,Produtos!C53)</f>
        <v>210</v>
      </c>
      <c r="Q53" s="37">
        <f>SUMIFS(Vendas!F:F,Vendas!E:E,5,Vendas!G:G,Produtos!C53)</f>
        <v>120</v>
      </c>
      <c r="R53" s="37">
        <f>SUMIFS(Vendas!F:F,Vendas!E:E,6,Vendas!G:G,Produtos!C53)</f>
        <v>180</v>
      </c>
      <c r="S53" s="37">
        <f>SUMIFS(Vendas!F:F,Vendas!E:E,7,Vendas!G:G,Produtos!C53)</f>
        <v>90</v>
      </c>
      <c r="T53" s="37">
        <f>SUMIFS(Vendas!F:F,Vendas!E:E,8,Vendas!G:G,Produtos!C53)</f>
        <v>180</v>
      </c>
      <c r="U53" s="37">
        <f>SUMIFS(Vendas!F:F,Vendas!E:E,9,Vendas!G:G,Produtos!C53)</f>
        <v>90</v>
      </c>
      <c r="V53" s="37">
        <f>SUMIFS(Vendas!F:F,Vendas!E:E,10,Vendas!G:G,Produtos!C53)</f>
        <v>180</v>
      </c>
      <c r="W53" s="37">
        <f>SUMIFS(Vendas!F:F,Vendas!E:E,11,Vendas!G:G,Produtos!C53)</f>
        <v>120</v>
      </c>
      <c r="X53" s="37">
        <f>SUMIFS(Vendas!F:F,Vendas!E:E,12,Vendas!G:G,Produtos!C53)</f>
        <v>180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AA543"/>
  <sheetViews>
    <sheetView tabSelected="1" zoomScale="85" zoomScaleNormal="85" workbookViewId="0"/>
  </sheetViews>
  <sheetFormatPr defaultRowHeight="21.9" customHeight="1" x14ac:dyDescent="0.3"/>
  <cols>
    <col min="1" max="1" width="57" style="1" customWidth="1"/>
    <col min="2" max="2" width="15" style="7" customWidth="1"/>
    <col min="3" max="3" width="53.5546875" style="13" customWidth="1"/>
    <col min="4" max="4" width="23" style="9" customWidth="1"/>
    <col min="5" max="5" width="54.109375" style="9" customWidth="1"/>
    <col min="6" max="6" width="27" style="7" customWidth="1"/>
    <col min="7" max="7" width="31" style="7" customWidth="1"/>
    <col min="8" max="8" width="46.6640625" style="7" customWidth="1"/>
    <col min="9" max="12" width="28.88671875" style="7" customWidth="1"/>
    <col min="13" max="13" width="23.44140625" style="7" customWidth="1"/>
    <col min="14" max="14" width="27.5546875" style="7" customWidth="1"/>
    <col min="15" max="15" width="22.88671875" style="7" customWidth="1"/>
    <col min="16" max="16" width="22.44140625" style="7" customWidth="1"/>
    <col min="17" max="17" width="25.5546875" style="7" customWidth="1"/>
    <col min="18" max="19" width="27.5546875" style="7" customWidth="1"/>
    <col min="20" max="20" width="22.33203125" style="7" customWidth="1"/>
    <col min="21" max="21" width="25.44140625" style="7" customWidth="1"/>
    <col min="22" max="22" width="16.88671875" style="7" customWidth="1"/>
    <col min="23" max="23" width="16.6640625" style="7" customWidth="1"/>
    <col min="24" max="27" width="9.109375" style="7"/>
  </cols>
  <sheetData>
    <row r="2" spans="3:4" ht="21.9" customHeight="1" x14ac:dyDescent="0.3">
      <c r="C2" s="8"/>
    </row>
    <row r="3" spans="3:4" ht="30" customHeight="1" x14ac:dyDescent="0.7">
      <c r="C3" s="23" t="s">
        <v>379</v>
      </c>
    </row>
    <row r="4" spans="3:4" ht="21.9" customHeight="1" x14ac:dyDescent="0.3">
      <c r="C4" s="12"/>
    </row>
    <row r="5" spans="3:4" ht="21.9" customHeight="1" x14ac:dyDescent="0.3">
      <c r="C5" s="39" t="s">
        <v>108</v>
      </c>
    </row>
    <row r="6" spans="3:4" ht="21.9" customHeight="1" x14ac:dyDescent="0.3">
      <c r="C6" s="51"/>
    </row>
    <row r="7" spans="3:4" ht="21.9" customHeight="1" x14ac:dyDescent="0.3">
      <c r="C7" s="39" t="s">
        <v>109</v>
      </c>
    </row>
    <row r="8" spans="3:4" ht="21.9" customHeight="1" x14ac:dyDescent="0.3">
      <c r="C8" s="52"/>
    </row>
    <row r="9" spans="3:4" ht="21.9" customHeight="1" x14ac:dyDescent="0.3">
      <c r="C9" s="39" t="s">
        <v>7</v>
      </c>
    </row>
    <row r="10" spans="3:4" ht="21.9" customHeight="1" x14ac:dyDescent="0.3">
      <c r="C10" s="53"/>
    </row>
    <row r="11" spans="3:4" ht="21.9" customHeight="1" x14ac:dyDescent="0.3">
      <c r="C11" s="39" t="s">
        <v>110</v>
      </c>
    </row>
    <row r="12" spans="3:4" ht="21.9" customHeight="1" x14ac:dyDescent="0.3">
      <c r="C12" s="51"/>
    </row>
    <row r="13" spans="3:4" ht="21.9" customHeight="1" x14ac:dyDescent="0.3">
      <c r="C13" s="39" t="s">
        <v>1</v>
      </c>
    </row>
    <row r="14" spans="3:4" ht="21.9" customHeight="1" x14ac:dyDescent="0.3">
      <c r="C14" s="69" t="e">
        <f>VLOOKUP(C12,Produtos!C:D,2,FALSE)</f>
        <v>#N/A</v>
      </c>
    </row>
    <row r="15" spans="3:4" ht="21.9" customHeight="1" x14ac:dyDescent="0.3">
      <c r="C15" s="39" t="s">
        <v>213</v>
      </c>
      <c r="D15" s="7"/>
    </row>
    <row r="16" spans="3:4" ht="21.9" customHeight="1" x14ac:dyDescent="0.3">
      <c r="C16" s="70" t="e">
        <f>VLOOKUP(C12,Produtos!C:E,3,FALSE)</f>
        <v>#N/A</v>
      </c>
    </row>
    <row r="17" spans="3:5" ht="21.9" customHeight="1" x14ac:dyDescent="0.3">
      <c r="C17" s="39" t="s">
        <v>214</v>
      </c>
    </row>
    <row r="18" spans="3:5" ht="21.9" customHeight="1" x14ac:dyDescent="0.3">
      <c r="C18" s="71" t="e">
        <f>VLOOKUP(C12,Produtos!C:F,4,FALSE)</f>
        <v>#N/A</v>
      </c>
    </row>
    <row r="19" spans="3:5" ht="21.9" customHeight="1" x14ac:dyDescent="0.3">
      <c r="C19" s="39" t="s">
        <v>215</v>
      </c>
    </row>
    <row r="20" spans="3:5" ht="21.9" customHeight="1" x14ac:dyDescent="0.3">
      <c r="C20" s="71" t="e">
        <f>VLOOKUP(C12,Produtos!C:G,5,FALSE)</f>
        <v>#N/A</v>
      </c>
    </row>
    <row r="21" spans="3:5" ht="21.9" customHeight="1" x14ac:dyDescent="0.3">
      <c r="C21" s="39" t="s">
        <v>216</v>
      </c>
    </row>
    <row r="22" spans="3:5" ht="21.9" customHeight="1" x14ac:dyDescent="0.3">
      <c r="C22" s="72" t="e">
        <f>VLOOKUP(C12,Produtos!C:H,6,FALSE)</f>
        <v>#N/A</v>
      </c>
    </row>
    <row r="23" spans="3:5" ht="21.9" customHeight="1" x14ac:dyDescent="0.3">
      <c r="C23" s="39" t="s">
        <v>119</v>
      </c>
    </row>
    <row r="24" spans="3:5" ht="21.9" customHeight="1" x14ac:dyDescent="0.3">
      <c r="C24" s="54"/>
    </row>
    <row r="25" spans="3:5" ht="21.9" customHeight="1" x14ac:dyDescent="0.3">
      <c r="C25" s="39" t="s">
        <v>285</v>
      </c>
      <c r="E25" s="39" t="s">
        <v>112</v>
      </c>
    </row>
    <row r="26" spans="3:5" ht="21.9" customHeight="1" x14ac:dyDescent="0.3">
      <c r="C26" s="54"/>
      <c r="E26" s="54"/>
    </row>
    <row r="27" spans="3:5" ht="21.9" customHeight="1" x14ac:dyDescent="0.3">
      <c r="C27" s="39" t="s">
        <v>234</v>
      </c>
      <c r="E27" s="39" t="s">
        <v>3</v>
      </c>
    </row>
    <row r="28" spans="3:5" ht="21.9" customHeight="1" x14ac:dyDescent="0.3">
      <c r="C28" s="73" t="e">
        <f>VLOOKUP(C26,Funcionários!C:D,2,FALSE)</f>
        <v>#N/A</v>
      </c>
      <c r="E28" s="73" t="e">
        <f>VLOOKUP(E26,Clientes!C:D,2,FALSE)</f>
        <v>#N/A</v>
      </c>
    </row>
    <row r="29" spans="3:5" ht="21.9" customHeight="1" x14ac:dyDescent="0.3">
      <c r="C29" s="39" t="s">
        <v>5</v>
      </c>
      <c r="E29" s="39" t="s">
        <v>5</v>
      </c>
    </row>
    <row r="30" spans="3:5" ht="21.9" customHeight="1" x14ac:dyDescent="0.3">
      <c r="C30" s="73" t="e">
        <f>VLOOKUP(C26,Funcionários!C:I,7,FALSE)</f>
        <v>#N/A</v>
      </c>
      <c r="E30" s="73" t="e">
        <f>VLOOKUP(E26,Clientes!C:G,5,FALSE)</f>
        <v>#N/A</v>
      </c>
    </row>
    <row r="31" spans="3:5" ht="21.9" customHeight="1" x14ac:dyDescent="0.3">
      <c r="C31" s="39" t="s">
        <v>111</v>
      </c>
      <c r="E31" s="39" t="s">
        <v>111</v>
      </c>
    </row>
    <row r="32" spans="3:5" ht="21.9" customHeight="1" x14ac:dyDescent="0.3">
      <c r="C32" s="73" t="e">
        <f>VLOOKUP(C26,Funcionários!C:J,8,FALSE)</f>
        <v>#N/A</v>
      </c>
      <c r="E32" s="73" t="e">
        <f>VLOOKUP(E26,Clientes!C:H,6,FALSE)</f>
        <v>#N/A</v>
      </c>
    </row>
    <row r="34" spans="3:21" ht="21.9" customHeight="1" x14ac:dyDescent="0.4">
      <c r="C34" s="40" t="s">
        <v>117</v>
      </c>
    </row>
    <row r="36" spans="3:21" ht="21.9" customHeight="1" x14ac:dyDescent="0.3">
      <c r="C36" s="5" t="s">
        <v>105</v>
      </c>
      <c r="D36" s="5" t="s">
        <v>106</v>
      </c>
      <c r="E36" s="6" t="s">
        <v>118</v>
      </c>
      <c r="F36" s="5" t="s">
        <v>107</v>
      </c>
      <c r="G36" s="5" t="s">
        <v>110</v>
      </c>
      <c r="H36" s="5" t="s">
        <v>1</v>
      </c>
      <c r="I36" s="5" t="s">
        <v>213</v>
      </c>
      <c r="J36" s="5" t="s">
        <v>214</v>
      </c>
      <c r="K36" s="5" t="s">
        <v>215</v>
      </c>
      <c r="L36" s="5" t="s">
        <v>216</v>
      </c>
      <c r="M36" s="5" t="s">
        <v>119</v>
      </c>
      <c r="N36" s="68" t="s">
        <v>238</v>
      </c>
      <c r="O36" s="5" t="s">
        <v>234</v>
      </c>
      <c r="P36" s="5" t="s">
        <v>5</v>
      </c>
      <c r="Q36" s="5" t="s">
        <v>111</v>
      </c>
      <c r="R36" s="68" t="s">
        <v>2</v>
      </c>
      <c r="S36" s="5" t="s">
        <v>3</v>
      </c>
      <c r="T36" s="5" t="s">
        <v>5</v>
      </c>
      <c r="U36" s="5" t="s">
        <v>111</v>
      </c>
    </row>
    <row r="37" spans="3:21" ht="21.9" customHeight="1" x14ac:dyDescent="0.3">
      <c r="C37" s="24">
        <v>507</v>
      </c>
      <c r="D37" s="45">
        <v>44182</v>
      </c>
      <c r="E37" s="24">
        <f>MONTH(D37)</f>
        <v>12</v>
      </c>
      <c r="F37" s="46">
        <v>1200</v>
      </c>
      <c r="G37" s="24" t="s">
        <v>86</v>
      </c>
      <c r="H37" s="24" t="s">
        <v>198</v>
      </c>
      <c r="I37" s="24" t="s">
        <v>207</v>
      </c>
      <c r="J37" s="24" t="s">
        <v>224</v>
      </c>
      <c r="K37" s="24" t="s">
        <v>228</v>
      </c>
      <c r="L37" s="24" t="s">
        <v>230</v>
      </c>
      <c r="M37" s="24">
        <v>2</v>
      </c>
      <c r="N37" s="24" t="s">
        <v>51</v>
      </c>
      <c r="O37" s="24" t="s">
        <v>269</v>
      </c>
      <c r="P37" s="24" t="s">
        <v>262</v>
      </c>
      <c r="Q37" s="24" t="s">
        <v>288</v>
      </c>
      <c r="R37" s="24" t="s">
        <v>65</v>
      </c>
      <c r="S37" s="24" t="s">
        <v>37</v>
      </c>
      <c r="T37" s="24" t="s">
        <v>48</v>
      </c>
      <c r="U37" s="24" t="s">
        <v>113</v>
      </c>
    </row>
    <row r="38" spans="3:21" ht="21.9" customHeight="1" x14ac:dyDescent="0.3">
      <c r="C38" s="24">
        <v>506</v>
      </c>
      <c r="D38" s="45">
        <v>44181</v>
      </c>
      <c r="E38" s="24">
        <f t="shared" ref="E38:E101" si="0">MONTH(D38)</f>
        <v>12</v>
      </c>
      <c r="F38" s="46">
        <v>340</v>
      </c>
      <c r="G38" s="24" t="s">
        <v>85</v>
      </c>
      <c r="H38" s="24" t="s">
        <v>199</v>
      </c>
      <c r="I38" s="24" t="s">
        <v>209</v>
      </c>
      <c r="J38" s="24" t="s">
        <v>216</v>
      </c>
      <c r="K38" s="24" t="s">
        <v>228</v>
      </c>
      <c r="L38" s="24" t="s">
        <v>221</v>
      </c>
      <c r="M38" s="24">
        <v>2</v>
      </c>
      <c r="N38" s="24" t="s">
        <v>380</v>
      </c>
      <c r="O38" s="24" t="s">
        <v>381</v>
      </c>
      <c r="P38" s="24" t="s">
        <v>46</v>
      </c>
      <c r="Q38" s="24" t="s">
        <v>384</v>
      </c>
      <c r="R38" s="24" t="s">
        <v>344</v>
      </c>
      <c r="S38" s="24" t="s">
        <v>328</v>
      </c>
      <c r="T38" s="24" t="s">
        <v>46</v>
      </c>
      <c r="U38" s="24" t="s">
        <v>115</v>
      </c>
    </row>
    <row r="39" spans="3:21" ht="21.9" customHeight="1" x14ac:dyDescent="0.3">
      <c r="C39" s="24">
        <v>505</v>
      </c>
      <c r="D39" s="45">
        <v>44180</v>
      </c>
      <c r="E39" s="24">
        <f t="shared" si="0"/>
        <v>12</v>
      </c>
      <c r="F39" s="46">
        <v>400</v>
      </c>
      <c r="G39" s="24" t="s">
        <v>84</v>
      </c>
      <c r="H39" s="24" t="s">
        <v>200</v>
      </c>
      <c r="I39" s="24" t="s">
        <v>208</v>
      </c>
      <c r="J39" s="24" t="s">
        <v>222</v>
      </c>
      <c r="K39" s="24" t="s">
        <v>228</v>
      </c>
      <c r="L39" s="24" t="s">
        <v>220</v>
      </c>
      <c r="M39" s="24">
        <v>1</v>
      </c>
      <c r="N39" s="24" t="s">
        <v>72</v>
      </c>
      <c r="O39" s="24" t="s">
        <v>250</v>
      </c>
      <c r="P39" s="24" t="s">
        <v>253</v>
      </c>
      <c r="Q39" s="24" t="s">
        <v>384</v>
      </c>
      <c r="R39" s="24" t="s">
        <v>481</v>
      </c>
      <c r="S39" s="24" t="s">
        <v>501</v>
      </c>
      <c r="T39" s="24" t="s">
        <v>49</v>
      </c>
      <c r="U39" s="24" t="s">
        <v>115</v>
      </c>
    </row>
    <row r="40" spans="3:21" ht="21.9" customHeight="1" x14ac:dyDescent="0.3">
      <c r="C40" s="24">
        <v>504</v>
      </c>
      <c r="D40" s="45">
        <v>44195</v>
      </c>
      <c r="E40" s="24">
        <f t="shared" si="0"/>
        <v>12</v>
      </c>
      <c r="F40" s="46">
        <v>2400</v>
      </c>
      <c r="G40" s="24" t="s">
        <v>83</v>
      </c>
      <c r="H40" s="24" t="s">
        <v>201</v>
      </c>
      <c r="I40" s="24" t="s">
        <v>208</v>
      </c>
      <c r="J40" s="24" t="s">
        <v>222</v>
      </c>
      <c r="K40" s="24" t="s">
        <v>226</v>
      </c>
      <c r="L40" s="24" t="s">
        <v>230</v>
      </c>
      <c r="M40" s="24">
        <v>3</v>
      </c>
      <c r="N40" s="24" t="s">
        <v>51</v>
      </c>
      <c r="O40" s="24" t="s">
        <v>269</v>
      </c>
      <c r="P40" s="24" t="s">
        <v>262</v>
      </c>
      <c r="Q40" s="24" t="s">
        <v>288</v>
      </c>
      <c r="R40" s="24" t="s">
        <v>66</v>
      </c>
      <c r="S40" s="24" t="s">
        <v>38</v>
      </c>
      <c r="T40" s="24" t="s">
        <v>46</v>
      </c>
      <c r="U40" s="24" t="s">
        <v>115</v>
      </c>
    </row>
    <row r="41" spans="3:21" ht="21.9" customHeight="1" x14ac:dyDescent="0.3">
      <c r="C41" s="24">
        <v>503</v>
      </c>
      <c r="D41" s="45">
        <v>44194</v>
      </c>
      <c r="E41" s="24">
        <f t="shared" si="0"/>
        <v>12</v>
      </c>
      <c r="F41" s="46">
        <v>400</v>
      </c>
      <c r="G41" s="24" t="s">
        <v>82</v>
      </c>
      <c r="H41" s="24" t="s">
        <v>202</v>
      </c>
      <c r="I41" s="24" t="s">
        <v>207</v>
      </c>
      <c r="J41" s="24" t="s">
        <v>222</v>
      </c>
      <c r="K41" s="24" t="s">
        <v>226</v>
      </c>
      <c r="L41" s="24" t="s">
        <v>230</v>
      </c>
      <c r="M41" s="24">
        <v>1</v>
      </c>
      <c r="N41" s="24" t="s">
        <v>75</v>
      </c>
      <c r="O41" s="24" t="s">
        <v>26</v>
      </c>
      <c r="P41" s="24" t="s">
        <v>249</v>
      </c>
      <c r="Q41" s="24" t="s">
        <v>289</v>
      </c>
      <c r="R41" s="24" t="s">
        <v>414</v>
      </c>
      <c r="S41" s="24" t="s">
        <v>490</v>
      </c>
      <c r="T41" s="24" t="s">
        <v>46</v>
      </c>
      <c r="U41" s="24" t="s">
        <v>113</v>
      </c>
    </row>
    <row r="42" spans="3:21" ht="21.9" customHeight="1" x14ac:dyDescent="0.3">
      <c r="C42" s="24">
        <v>502</v>
      </c>
      <c r="D42" s="45">
        <v>44193</v>
      </c>
      <c r="E42" s="24">
        <f t="shared" si="0"/>
        <v>12</v>
      </c>
      <c r="F42" s="46">
        <v>500</v>
      </c>
      <c r="G42" s="24" t="s">
        <v>81</v>
      </c>
      <c r="H42" s="24" t="s">
        <v>203</v>
      </c>
      <c r="I42" s="24" t="s">
        <v>207</v>
      </c>
      <c r="J42" s="24" t="s">
        <v>223</v>
      </c>
      <c r="K42" s="24" t="s">
        <v>226</v>
      </c>
      <c r="L42" s="24" t="s">
        <v>230</v>
      </c>
      <c r="M42" s="24">
        <v>2</v>
      </c>
      <c r="N42" s="24" t="s">
        <v>73</v>
      </c>
      <c r="O42" s="24" t="s">
        <v>268</v>
      </c>
      <c r="P42" s="24" t="s">
        <v>262</v>
      </c>
      <c r="Q42" s="24" t="s">
        <v>288</v>
      </c>
      <c r="R42" s="24" t="s">
        <v>56</v>
      </c>
      <c r="S42" s="24" t="s">
        <v>28</v>
      </c>
      <c r="T42" s="24" t="s">
        <v>48</v>
      </c>
      <c r="U42" s="24" t="s">
        <v>115</v>
      </c>
    </row>
    <row r="43" spans="3:21" ht="21.9" customHeight="1" x14ac:dyDescent="0.3">
      <c r="C43" s="24">
        <v>501</v>
      </c>
      <c r="D43" s="45">
        <v>44192</v>
      </c>
      <c r="E43" s="24">
        <f>MONTH(D43)</f>
        <v>12</v>
      </c>
      <c r="F43" s="46">
        <v>80</v>
      </c>
      <c r="G43" s="24" t="s">
        <v>80</v>
      </c>
      <c r="H43" s="24" t="s">
        <v>204</v>
      </c>
      <c r="I43" s="24" t="s">
        <v>207</v>
      </c>
      <c r="J43" s="24" t="s">
        <v>221</v>
      </c>
      <c r="K43" s="24" t="s">
        <v>229</v>
      </c>
      <c r="L43" s="24" t="s">
        <v>221</v>
      </c>
      <c r="M43" s="24">
        <v>2</v>
      </c>
      <c r="N43" s="24" t="s">
        <v>76</v>
      </c>
      <c r="O43" s="24" t="s">
        <v>272</v>
      </c>
      <c r="P43" s="24" t="s">
        <v>245</v>
      </c>
      <c r="Q43" s="24" t="s">
        <v>288</v>
      </c>
      <c r="R43" s="24" t="s">
        <v>55</v>
      </c>
      <c r="S43" s="24" t="s">
        <v>27</v>
      </c>
      <c r="T43" s="24" t="s">
        <v>47</v>
      </c>
      <c r="U43" s="24" t="s">
        <v>113</v>
      </c>
    </row>
    <row r="44" spans="3:21" ht="21.9" customHeight="1" x14ac:dyDescent="0.3">
      <c r="C44" s="24">
        <v>500</v>
      </c>
      <c r="D44" s="45">
        <v>44191</v>
      </c>
      <c r="E44" s="24">
        <f t="shared" si="0"/>
        <v>12</v>
      </c>
      <c r="F44" s="46">
        <v>70</v>
      </c>
      <c r="G44" s="24" t="s">
        <v>79</v>
      </c>
      <c r="H44" s="24" t="s">
        <v>205</v>
      </c>
      <c r="I44" s="24" t="s">
        <v>207</v>
      </c>
      <c r="J44" s="24" t="s">
        <v>221</v>
      </c>
      <c r="K44" s="24" t="s">
        <v>229</v>
      </c>
      <c r="L44" s="24" t="s">
        <v>221</v>
      </c>
      <c r="M44" s="24">
        <v>2</v>
      </c>
      <c r="N44" s="24" t="s">
        <v>71</v>
      </c>
      <c r="O44" s="24" t="s">
        <v>271</v>
      </c>
      <c r="P44" s="24" t="s">
        <v>286</v>
      </c>
      <c r="Q44" s="24" t="s">
        <v>288</v>
      </c>
      <c r="R44" s="24" t="s">
        <v>337</v>
      </c>
      <c r="S44" s="24" t="s">
        <v>43</v>
      </c>
      <c r="T44" s="24" t="s">
        <v>49</v>
      </c>
      <c r="U44" s="24" t="s">
        <v>113</v>
      </c>
    </row>
    <row r="45" spans="3:21" ht="21.9" customHeight="1" x14ac:dyDescent="0.3">
      <c r="C45" s="24">
        <v>499</v>
      </c>
      <c r="D45" s="45">
        <v>44190</v>
      </c>
      <c r="E45" s="24">
        <f t="shared" si="0"/>
        <v>12</v>
      </c>
      <c r="F45" s="46">
        <v>30</v>
      </c>
      <c r="G45" s="24" t="s">
        <v>78</v>
      </c>
      <c r="H45" s="24" t="s">
        <v>206</v>
      </c>
      <c r="I45" s="24" t="s">
        <v>207</v>
      </c>
      <c r="J45" s="24" t="s">
        <v>221</v>
      </c>
      <c r="K45" s="24" t="s">
        <v>229</v>
      </c>
      <c r="L45" s="24" t="s">
        <v>221</v>
      </c>
      <c r="M45" s="24">
        <v>1</v>
      </c>
      <c r="N45" s="24" t="s">
        <v>77</v>
      </c>
      <c r="O45" s="24" t="s">
        <v>273</v>
      </c>
      <c r="P45" s="24" t="s">
        <v>241</v>
      </c>
      <c r="Q45" s="24" t="s">
        <v>287</v>
      </c>
      <c r="R45" s="24" t="s">
        <v>414</v>
      </c>
      <c r="S45" s="24" t="s">
        <v>490</v>
      </c>
      <c r="T45" s="24" t="s">
        <v>46</v>
      </c>
      <c r="U45" s="24" t="s">
        <v>113</v>
      </c>
    </row>
    <row r="46" spans="3:21" ht="21.9" customHeight="1" x14ac:dyDescent="0.3">
      <c r="C46" s="24">
        <v>498</v>
      </c>
      <c r="D46" s="45">
        <v>44189</v>
      </c>
      <c r="E46" s="24">
        <f t="shared" si="0"/>
        <v>12</v>
      </c>
      <c r="F46" s="46">
        <v>1600</v>
      </c>
      <c r="G46" s="24" t="s">
        <v>121</v>
      </c>
      <c r="H46" s="24" t="s">
        <v>183</v>
      </c>
      <c r="I46" s="24" t="s">
        <v>207</v>
      </c>
      <c r="J46" s="24" t="s">
        <v>210</v>
      </c>
      <c r="K46" s="24" t="s">
        <v>184</v>
      </c>
      <c r="L46" s="24" t="s">
        <v>230</v>
      </c>
      <c r="M46" s="24">
        <v>1</v>
      </c>
      <c r="N46" s="24" t="s">
        <v>380</v>
      </c>
      <c r="O46" s="24" t="s">
        <v>381</v>
      </c>
      <c r="P46" s="24" t="s">
        <v>46</v>
      </c>
      <c r="Q46" s="24" t="s">
        <v>384</v>
      </c>
      <c r="R46" s="24" t="s">
        <v>339</v>
      </c>
      <c r="S46" s="24" t="s">
        <v>314</v>
      </c>
      <c r="T46" s="24" t="s">
        <v>44</v>
      </c>
      <c r="U46" s="24" t="s">
        <v>113</v>
      </c>
    </row>
    <row r="47" spans="3:21" ht="21.9" customHeight="1" x14ac:dyDescent="0.3">
      <c r="C47" s="24">
        <v>497</v>
      </c>
      <c r="D47" s="45">
        <v>44188</v>
      </c>
      <c r="E47" s="24">
        <f t="shared" si="0"/>
        <v>12</v>
      </c>
      <c r="F47" s="46">
        <v>2800</v>
      </c>
      <c r="G47" s="24" t="s">
        <v>120</v>
      </c>
      <c r="H47" s="24" t="s">
        <v>185</v>
      </c>
      <c r="I47" s="24" t="s">
        <v>207</v>
      </c>
      <c r="J47" s="24" t="s">
        <v>210</v>
      </c>
      <c r="K47" s="24" t="s">
        <v>184</v>
      </c>
      <c r="L47" s="24" t="s">
        <v>230</v>
      </c>
      <c r="M47" s="24">
        <v>1</v>
      </c>
      <c r="N47" s="24" t="s">
        <v>73</v>
      </c>
      <c r="O47" s="24" t="s">
        <v>268</v>
      </c>
      <c r="P47" s="24" t="s">
        <v>262</v>
      </c>
      <c r="Q47" s="24" t="s">
        <v>288</v>
      </c>
      <c r="R47" s="24" t="s">
        <v>70</v>
      </c>
      <c r="S47" s="24" t="s">
        <v>42</v>
      </c>
      <c r="T47" s="24" t="s">
        <v>47</v>
      </c>
      <c r="U47" s="24" t="s">
        <v>114</v>
      </c>
    </row>
    <row r="48" spans="3:21" ht="21.9" customHeight="1" x14ac:dyDescent="0.3">
      <c r="C48" s="24">
        <v>496</v>
      </c>
      <c r="D48" s="45">
        <v>44187</v>
      </c>
      <c r="E48" s="24">
        <f t="shared" si="0"/>
        <v>12</v>
      </c>
      <c r="F48" s="46">
        <v>80</v>
      </c>
      <c r="G48" s="24" t="s">
        <v>97</v>
      </c>
      <c r="H48" s="24" t="s">
        <v>189</v>
      </c>
      <c r="I48" s="24" t="s">
        <v>207</v>
      </c>
      <c r="J48" s="24" t="s">
        <v>211</v>
      </c>
      <c r="K48" s="24" t="s">
        <v>227</v>
      </c>
      <c r="L48" s="24" t="s">
        <v>186</v>
      </c>
      <c r="M48" s="24">
        <v>1</v>
      </c>
      <c r="N48" s="24" t="s">
        <v>75</v>
      </c>
      <c r="O48" s="24" t="s">
        <v>26</v>
      </c>
      <c r="P48" s="24" t="s">
        <v>249</v>
      </c>
      <c r="Q48" s="24" t="s">
        <v>289</v>
      </c>
      <c r="R48" s="24" t="s">
        <v>465</v>
      </c>
      <c r="S48" s="24" t="s">
        <v>499</v>
      </c>
      <c r="T48" s="24" t="s">
        <v>249</v>
      </c>
      <c r="U48" s="24" t="s">
        <v>113</v>
      </c>
    </row>
    <row r="49" spans="3:21" ht="21.9" customHeight="1" x14ac:dyDescent="0.3">
      <c r="C49" s="24">
        <v>495</v>
      </c>
      <c r="D49" s="45">
        <v>44186</v>
      </c>
      <c r="E49" s="24">
        <f t="shared" si="0"/>
        <v>12</v>
      </c>
      <c r="F49" s="46">
        <v>120</v>
      </c>
      <c r="G49" s="24" t="s">
        <v>96</v>
      </c>
      <c r="H49" s="24" t="s">
        <v>190</v>
      </c>
      <c r="I49" s="24" t="s">
        <v>208</v>
      </c>
      <c r="J49" s="24" t="s">
        <v>212</v>
      </c>
      <c r="K49" s="24" t="s">
        <v>227</v>
      </c>
      <c r="L49" s="24" t="s">
        <v>223</v>
      </c>
      <c r="M49" s="24">
        <v>2</v>
      </c>
      <c r="N49" s="24" t="s">
        <v>77</v>
      </c>
      <c r="O49" s="24" t="s">
        <v>273</v>
      </c>
      <c r="P49" s="24" t="s">
        <v>241</v>
      </c>
      <c r="Q49" s="24" t="s">
        <v>287</v>
      </c>
      <c r="R49" s="24" t="s">
        <v>347</v>
      </c>
      <c r="S49" s="24" t="s">
        <v>335</v>
      </c>
      <c r="T49" s="24" t="s">
        <v>49</v>
      </c>
      <c r="U49" s="24" t="s">
        <v>113</v>
      </c>
    </row>
    <row r="50" spans="3:21" ht="21.9" customHeight="1" x14ac:dyDescent="0.3">
      <c r="C50" s="24">
        <v>494</v>
      </c>
      <c r="D50" s="45">
        <v>44185</v>
      </c>
      <c r="E50" s="24">
        <f t="shared" si="0"/>
        <v>12</v>
      </c>
      <c r="F50" s="46">
        <v>100</v>
      </c>
      <c r="G50" s="24" t="s">
        <v>95</v>
      </c>
      <c r="H50" s="24" t="s">
        <v>191</v>
      </c>
      <c r="I50" s="24" t="s">
        <v>207</v>
      </c>
      <c r="J50" s="24" t="s">
        <v>222</v>
      </c>
      <c r="K50" s="24" t="s">
        <v>226</v>
      </c>
      <c r="L50" s="24" t="s">
        <v>231</v>
      </c>
      <c r="M50" s="24">
        <v>1</v>
      </c>
      <c r="N50" s="24" t="s">
        <v>71</v>
      </c>
      <c r="O50" s="24" t="s">
        <v>271</v>
      </c>
      <c r="P50" s="24" t="s">
        <v>286</v>
      </c>
      <c r="Q50" s="24" t="s">
        <v>288</v>
      </c>
      <c r="R50" s="24" t="s">
        <v>465</v>
      </c>
      <c r="S50" s="24" t="s">
        <v>499</v>
      </c>
      <c r="T50" s="24" t="s">
        <v>249</v>
      </c>
      <c r="U50" s="24" t="s">
        <v>113</v>
      </c>
    </row>
    <row r="51" spans="3:21" ht="21.9" customHeight="1" x14ac:dyDescent="0.3">
      <c r="C51" s="24">
        <v>493</v>
      </c>
      <c r="D51" s="45">
        <v>44184</v>
      </c>
      <c r="E51" s="24">
        <f t="shared" si="0"/>
        <v>12</v>
      </c>
      <c r="F51" s="46">
        <v>600</v>
      </c>
      <c r="G51" s="24" t="s">
        <v>94</v>
      </c>
      <c r="H51" s="24" t="s">
        <v>192</v>
      </c>
      <c r="I51" s="24" t="s">
        <v>207</v>
      </c>
      <c r="J51" s="24" t="s">
        <v>216</v>
      </c>
      <c r="K51" s="24" t="s">
        <v>187</v>
      </c>
      <c r="L51" s="24" t="s">
        <v>232</v>
      </c>
      <c r="M51" s="24">
        <v>2</v>
      </c>
      <c r="N51" s="24" t="s">
        <v>71</v>
      </c>
      <c r="O51" s="24" t="s">
        <v>271</v>
      </c>
      <c r="P51" s="24" t="s">
        <v>286</v>
      </c>
      <c r="Q51" s="24" t="s">
        <v>288</v>
      </c>
      <c r="R51" s="24" t="s">
        <v>342</v>
      </c>
      <c r="S51" s="24" t="s">
        <v>323</v>
      </c>
      <c r="T51" s="24" t="s">
        <v>46</v>
      </c>
      <c r="U51" s="24" t="s">
        <v>115</v>
      </c>
    </row>
    <row r="52" spans="3:21" ht="21.9" customHeight="1" x14ac:dyDescent="0.3">
      <c r="C52" s="24">
        <v>492</v>
      </c>
      <c r="D52" s="45">
        <v>44183</v>
      </c>
      <c r="E52" s="24">
        <f t="shared" si="0"/>
        <v>12</v>
      </c>
      <c r="F52" s="46">
        <v>350</v>
      </c>
      <c r="G52" s="24" t="s">
        <v>93</v>
      </c>
      <c r="H52" s="24" t="s">
        <v>193</v>
      </c>
      <c r="I52" s="24" t="s">
        <v>208</v>
      </c>
      <c r="J52" s="24" t="s">
        <v>218</v>
      </c>
      <c r="K52" s="24" t="s">
        <v>187</v>
      </c>
      <c r="L52" s="24" t="s">
        <v>186</v>
      </c>
      <c r="M52" s="24">
        <v>1</v>
      </c>
      <c r="N52" s="24" t="s">
        <v>73</v>
      </c>
      <c r="O52" s="24" t="s">
        <v>268</v>
      </c>
      <c r="P52" s="24" t="s">
        <v>262</v>
      </c>
      <c r="Q52" s="24" t="s">
        <v>288</v>
      </c>
      <c r="R52" s="24" t="s">
        <v>56</v>
      </c>
      <c r="S52" s="24" t="s">
        <v>28</v>
      </c>
      <c r="T52" s="24" t="s">
        <v>48</v>
      </c>
      <c r="U52" s="24" t="s">
        <v>115</v>
      </c>
    </row>
    <row r="53" spans="3:21" ht="21.9" customHeight="1" x14ac:dyDescent="0.3">
      <c r="C53" s="24">
        <v>491</v>
      </c>
      <c r="D53" s="45">
        <v>44182</v>
      </c>
      <c r="E53" s="24">
        <f t="shared" si="0"/>
        <v>12</v>
      </c>
      <c r="F53" s="46">
        <v>270</v>
      </c>
      <c r="G53" s="24" t="s">
        <v>92</v>
      </c>
      <c r="H53" s="24" t="s">
        <v>225</v>
      </c>
      <c r="I53" s="24" t="s">
        <v>207</v>
      </c>
      <c r="J53" s="24" t="s">
        <v>219</v>
      </c>
      <c r="K53" s="24" t="s">
        <v>226</v>
      </c>
      <c r="L53" s="24" t="s">
        <v>186</v>
      </c>
      <c r="M53" s="24">
        <v>1</v>
      </c>
      <c r="N53" s="24" t="s">
        <v>73</v>
      </c>
      <c r="O53" s="24" t="s">
        <v>268</v>
      </c>
      <c r="P53" s="24" t="s">
        <v>262</v>
      </c>
      <c r="Q53" s="24" t="s">
        <v>288</v>
      </c>
      <c r="R53" s="24" t="s">
        <v>290</v>
      </c>
      <c r="S53" s="24" t="s">
        <v>296</v>
      </c>
      <c r="T53" s="24" t="s">
        <v>45</v>
      </c>
      <c r="U53" s="24" t="s">
        <v>113</v>
      </c>
    </row>
    <row r="54" spans="3:21" ht="21.9" customHeight="1" x14ac:dyDescent="0.3">
      <c r="C54" s="24">
        <v>490</v>
      </c>
      <c r="D54" s="45">
        <v>44181</v>
      </c>
      <c r="E54" s="24">
        <f t="shared" si="0"/>
        <v>12</v>
      </c>
      <c r="F54" s="46">
        <v>1500</v>
      </c>
      <c r="G54" s="24" t="s">
        <v>91</v>
      </c>
      <c r="H54" s="24" t="s">
        <v>194</v>
      </c>
      <c r="I54" s="24" t="s">
        <v>209</v>
      </c>
      <c r="J54" s="24" t="s">
        <v>219</v>
      </c>
      <c r="K54" s="24" t="s">
        <v>187</v>
      </c>
      <c r="L54" s="24" t="s">
        <v>186</v>
      </c>
      <c r="M54" s="24">
        <v>3</v>
      </c>
      <c r="N54" s="24" t="s">
        <v>380</v>
      </c>
      <c r="O54" s="24" t="s">
        <v>381</v>
      </c>
      <c r="P54" s="24" t="s">
        <v>46</v>
      </c>
      <c r="Q54" s="24" t="s">
        <v>384</v>
      </c>
      <c r="R54" s="24" t="s">
        <v>340</v>
      </c>
      <c r="S54" s="24" t="s">
        <v>317</v>
      </c>
      <c r="T54" s="24" t="s">
        <v>327</v>
      </c>
      <c r="U54" s="24" t="s">
        <v>114</v>
      </c>
    </row>
    <row r="55" spans="3:21" ht="21.9" customHeight="1" x14ac:dyDescent="0.3">
      <c r="C55" s="24">
        <v>489</v>
      </c>
      <c r="D55" s="45">
        <v>44180</v>
      </c>
      <c r="E55" s="24">
        <f t="shared" si="0"/>
        <v>12</v>
      </c>
      <c r="F55" s="46">
        <v>1800</v>
      </c>
      <c r="G55" s="24" t="s">
        <v>90</v>
      </c>
      <c r="H55" s="24" t="s">
        <v>188</v>
      </c>
      <c r="I55" s="24" t="s">
        <v>209</v>
      </c>
      <c r="J55" s="24" t="s">
        <v>220</v>
      </c>
      <c r="K55" s="24" t="s">
        <v>187</v>
      </c>
      <c r="L55" s="24" t="s">
        <v>220</v>
      </c>
      <c r="M55" s="24">
        <v>2</v>
      </c>
      <c r="N55" s="24" t="s">
        <v>77</v>
      </c>
      <c r="O55" s="24" t="s">
        <v>273</v>
      </c>
      <c r="P55" s="24" t="s">
        <v>241</v>
      </c>
      <c r="Q55" s="24" t="s">
        <v>287</v>
      </c>
      <c r="R55" s="24" t="s">
        <v>431</v>
      </c>
      <c r="S55" s="24" t="s">
        <v>493</v>
      </c>
      <c r="T55" s="24" t="s">
        <v>434</v>
      </c>
      <c r="U55" s="24" t="s">
        <v>113</v>
      </c>
    </row>
    <row r="56" spans="3:21" ht="21.9" customHeight="1" x14ac:dyDescent="0.3">
      <c r="C56" s="24">
        <v>488</v>
      </c>
      <c r="D56" s="45">
        <v>44179</v>
      </c>
      <c r="E56" s="24">
        <f t="shared" si="0"/>
        <v>12</v>
      </c>
      <c r="F56" s="46">
        <v>60</v>
      </c>
      <c r="G56" s="24" t="s">
        <v>89</v>
      </c>
      <c r="H56" s="24" t="s">
        <v>195</v>
      </c>
      <c r="I56" s="24" t="s">
        <v>207</v>
      </c>
      <c r="J56" s="24" t="s">
        <v>223</v>
      </c>
      <c r="K56" s="24" t="s">
        <v>226</v>
      </c>
      <c r="L56" s="24" t="s">
        <v>220</v>
      </c>
      <c r="M56" s="24">
        <v>1</v>
      </c>
      <c r="N56" s="24" t="s">
        <v>51</v>
      </c>
      <c r="O56" s="24" t="s">
        <v>269</v>
      </c>
      <c r="P56" s="24" t="s">
        <v>262</v>
      </c>
      <c r="Q56" s="24" t="s">
        <v>288</v>
      </c>
      <c r="R56" s="24" t="s">
        <v>70</v>
      </c>
      <c r="S56" s="24" t="s">
        <v>42</v>
      </c>
      <c r="T56" s="24" t="s">
        <v>47</v>
      </c>
      <c r="U56" s="24" t="s">
        <v>114</v>
      </c>
    </row>
    <row r="57" spans="3:21" ht="21.9" customHeight="1" x14ac:dyDescent="0.3">
      <c r="C57" s="24">
        <v>487</v>
      </c>
      <c r="D57" s="45">
        <v>44178</v>
      </c>
      <c r="E57" s="24">
        <f t="shared" si="0"/>
        <v>12</v>
      </c>
      <c r="F57" s="46">
        <v>70</v>
      </c>
      <c r="G57" s="24" t="s">
        <v>88</v>
      </c>
      <c r="H57" s="24" t="s">
        <v>196</v>
      </c>
      <c r="I57" s="24" t="s">
        <v>208</v>
      </c>
      <c r="J57" s="24" t="s">
        <v>216</v>
      </c>
      <c r="K57" s="24" t="s">
        <v>226</v>
      </c>
      <c r="L57" s="24" t="s">
        <v>230</v>
      </c>
      <c r="M57" s="24">
        <v>1</v>
      </c>
      <c r="N57" s="24" t="s">
        <v>76</v>
      </c>
      <c r="O57" s="24" t="s">
        <v>272</v>
      </c>
      <c r="P57" s="24" t="s">
        <v>245</v>
      </c>
      <c r="Q57" s="24" t="s">
        <v>288</v>
      </c>
      <c r="R57" s="24" t="s">
        <v>66</v>
      </c>
      <c r="S57" s="24" t="s">
        <v>38</v>
      </c>
      <c r="T57" s="24" t="s">
        <v>46</v>
      </c>
      <c r="U57" s="24" t="s">
        <v>115</v>
      </c>
    </row>
    <row r="58" spans="3:21" ht="21.9" customHeight="1" x14ac:dyDescent="0.3">
      <c r="C58" s="24">
        <v>486</v>
      </c>
      <c r="D58" s="45">
        <v>44177</v>
      </c>
      <c r="E58" s="24">
        <f t="shared" si="0"/>
        <v>12</v>
      </c>
      <c r="F58" s="46">
        <v>76</v>
      </c>
      <c r="G58" s="24" t="s">
        <v>87</v>
      </c>
      <c r="H58" s="24" t="s">
        <v>197</v>
      </c>
      <c r="I58" s="24" t="s">
        <v>208</v>
      </c>
      <c r="J58" s="24" t="s">
        <v>222</v>
      </c>
      <c r="K58" s="24" t="s">
        <v>226</v>
      </c>
      <c r="L58" s="24" t="s">
        <v>230</v>
      </c>
      <c r="M58" s="24">
        <v>1</v>
      </c>
      <c r="N58" s="24" t="s">
        <v>76</v>
      </c>
      <c r="O58" s="24" t="s">
        <v>272</v>
      </c>
      <c r="P58" s="24" t="s">
        <v>245</v>
      </c>
      <c r="Q58" s="24" t="s">
        <v>288</v>
      </c>
      <c r="R58" s="24" t="s">
        <v>290</v>
      </c>
      <c r="S58" s="24" t="s">
        <v>296</v>
      </c>
      <c r="T58" s="24" t="s">
        <v>45</v>
      </c>
      <c r="U58" s="24" t="s">
        <v>113</v>
      </c>
    </row>
    <row r="59" spans="3:21" ht="21.9" customHeight="1" x14ac:dyDescent="0.3">
      <c r="C59" s="24">
        <v>485</v>
      </c>
      <c r="D59" s="45">
        <v>44176</v>
      </c>
      <c r="E59" s="24">
        <f t="shared" si="0"/>
        <v>12</v>
      </c>
      <c r="F59" s="46">
        <v>600</v>
      </c>
      <c r="G59" s="24" t="s">
        <v>86</v>
      </c>
      <c r="H59" s="24" t="s">
        <v>198</v>
      </c>
      <c r="I59" s="24" t="s">
        <v>207</v>
      </c>
      <c r="J59" s="24" t="s">
        <v>224</v>
      </c>
      <c r="K59" s="24" t="s">
        <v>228</v>
      </c>
      <c r="L59" s="24" t="s">
        <v>230</v>
      </c>
      <c r="M59" s="24">
        <v>1</v>
      </c>
      <c r="N59" s="24" t="s">
        <v>77</v>
      </c>
      <c r="O59" s="24" t="s">
        <v>273</v>
      </c>
      <c r="P59" s="24" t="s">
        <v>241</v>
      </c>
      <c r="Q59" s="24" t="s">
        <v>287</v>
      </c>
      <c r="R59" s="24" t="s">
        <v>61</v>
      </c>
      <c r="S59" s="24" t="s">
        <v>33</v>
      </c>
      <c r="T59" s="24" t="s">
        <v>47</v>
      </c>
      <c r="U59" s="24" t="s">
        <v>113</v>
      </c>
    </row>
    <row r="60" spans="3:21" ht="21.9" customHeight="1" x14ac:dyDescent="0.3">
      <c r="C60" s="24">
        <v>484</v>
      </c>
      <c r="D60" s="45">
        <v>44175</v>
      </c>
      <c r="E60" s="24">
        <f t="shared" si="0"/>
        <v>12</v>
      </c>
      <c r="F60" s="46">
        <v>510</v>
      </c>
      <c r="G60" s="24" t="s">
        <v>85</v>
      </c>
      <c r="H60" s="24" t="s">
        <v>199</v>
      </c>
      <c r="I60" s="24" t="s">
        <v>209</v>
      </c>
      <c r="J60" s="24" t="s">
        <v>216</v>
      </c>
      <c r="K60" s="24" t="s">
        <v>228</v>
      </c>
      <c r="L60" s="24" t="s">
        <v>221</v>
      </c>
      <c r="M60" s="24">
        <v>3</v>
      </c>
      <c r="N60" s="24" t="s">
        <v>380</v>
      </c>
      <c r="O60" s="24" t="s">
        <v>381</v>
      </c>
      <c r="P60" s="24" t="s">
        <v>46</v>
      </c>
      <c r="Q60" s="24" t="s">
        <v>384</v>
      </c>
      <c r="R60" s="24" t="s">
        <v>338</v>
      </c>
      <c r="S60" s="24" t="s">
        <v>311</v>
      </c>
      <c r="T60" s="24" t="s">
        <v>47</v>
      </c>
      <c r="U60" s="24" t="s">
        <v>115</v>
      </c>
    </row>
    <row r="61" spans="3:21" ht="21.9" customHeight="1" x14ac:dyDescent="0.3">
      <c r="C61" s="24">
        <v>483</v>
      </c>
      <c r="D61" s="45">
        <v>44174</v>
      </c>
      <c r="E61" s="24">
        <f t="shared" si="0"/>
        <v>12</v>
      </c>
      <c r="F61" s="46">
        <v>1200</v>
      </c>
      <c r="G61" s="24" t="s">
        <v>84</v>
      </c>
      <c r="H61" s="24" t="s">
        <v>200</v>
      </c>
      <c r="I61" s="24" t="s">
        <v>208</v>
      </c>
      <c r="J61" s="24" t="s">
        <v>222</v>
      </c>
      <c r="K61" s="24" t="s">
        <v>228</v>
      </c>
      <c r="L61" s="24" t="s">
        <v>220</v>
      </c>
      <c r="M61" s="24">
        <v>3</v>
      </c>
      <c r="N61" s="24" t="s">
        <v>72</v>
      </c>
      <c r="O61" s="24" t="s">
        <v>250</v>
      </c>
      <c r="P61" s="24" t="s">
        <v>253</v>
      </c>
      <c r="Q61" s="24" t="s">
        <v>384</v>
      </c>
      <c r="R61" s="24" t="s">
        <v>65</v>
      </c>
      <c r="S61" s="24" t="s">
        <v>37</v>
      </c>
      <c r="T61" s="24" t="s">
        <v>48</v>
      </c>
      <c r="U61" s="24" t="s">
        <v>113</v>
      </c>
    </row>
    <row r="62" spans="3:21" ht="21.9" customHeight="1" x14ac:dyDescent="0.3">
      <c r="C62" s="24">
        <v>482</v>
      </c>
      <c r="D62" s="45">
        <v>44173</v>
      </c>
      <c r="E62" s="24">
        <f t="shared" si="0"/>
        <v>12</v>
      </c>
      <c r="F62" s="46">
        <v>1600</v>
      </c>
      <c r="G62" s="24" t="s">
        <v>83</v>
      </c>
      <c r="H62" s="24" t="s">
        <v>201</v>
      </c>
      <c r="I62" s="24" t="s">
        <v>208</v>
      </c>
      <c r="J62" s="24" t="s">
        <v>222</v>
      </c>
      <c r="K62" s="24" t="s">
        <v>226</v>
      </c>
      <c r="L62" s="24" t="s">
        <v>230</v>
      </c>
      <c r="M62" s="24">
        <v>2</v>
      </c>
      <c r="N62" s="24" t="s">
        <v>71</v>
      </c>
      <c r="O62" s="24" t="s">
        <v>271</v>
      </c>
      <c r="P62" s="24" t="s">
        <v>286</v>
      </c>
      <c r="Q62" s="24" t="s">
        <v>288</v>
      </c>
      <c r="R62" s="24" t="s">
        <v>346</v>
      </c>
      <c r="S62" s="24" t="s">
        <v>333</v>
      </c>
      <c r="T62" s="24" t="s">
        <v>47</v>
      </c>
      <c r="U62" s="24" t="s">
        <v>114</v>
      </c>
    </row>
    <row r="63" spans="3:21" ht="21.9" customHeight="1" x14ac:dyDescent="0.3">
      <c r="C63" s="24">
        <v>481</v>
      </c>
      <c r="D63" s="45">
        <v>44172</v>
      </c>
      <c r="E63" s="24">
        <f t="shared" si="0"/>
        <v>12</v>
      </c>
      <c r="F63" s="46">
        <v>800</v>
      </c>
      <c r="G63" s="24" t="s">
        <v>82</v>
      </c>
      <c r="H63" s="24" t="s">
        <v>202</v>
      </c>
      <c r="I63" s="24" t="s">
        <v>207</v>
      </c>
      <c r="J63" s="24" t="s">
        <v>222</v>
      </c>
      <c r="K63" s="24" t="s">
        <v>226</v>
      </c>
      <c r="L63" s="24" t="s">
        <v>230</v>
      </c>
      <c r="M63" s="24">
        <v>2</v>
      </c>
      <c r="N63" s="24" t="s">
        <v>51</v>
      </c>
      <c r="O63" s="24" t="s">
        <v>269</v>
      </c>
      <c r="P63" s="24" t="s">
        <v>262</v>
      </c>
      <c r="Q63" s="24" t="s">
        <v>288</v>
      </c>
      <c r="R63" s="24" t="s">
        <v>62</v>
      </c>
      <c r="S63" s="24" t="s">
        <v>34</v>
      </c>
      <c r="T63" s="24" t="s">
        <v>47</v>
      </c>
      <c r="U63" s="24" t="s">
        <v>115</v>
      </c>
    </row>
    <row r="64" spans="3:21" ht="21.9" customHeight="1" x14ac:dyDescent="0.3">
      <c r="C64" s="24">
        <v>480</v>
      </c>
      <c r="D64" s="45">
        <v>44171</v>
      </c>
      <c r="E64" s="24">
        <f t="shared" si="0"/>
        <v>12</v>
      </c>
      <c r="F64" s="46">
        <v>750</v>
      </c>
      <c r="G64" s="24" t="s">
        <v>81</v>
      </c>
      <c r="H64" s="24" t="s">
        <v>203</v>
      </c>
      <c r="I64" s="24" t="s">
        <v>207</v>
      </c>
      <c r="J64" s="24" t="s">
        <v>223</v>
      </c>
      <c r="K64" s="24" t="s">
        <v>226</v>
      </c>
      <c r="L64" s="24" t="s">
        <v>230</v>
      </c>
      <c r="M64" s="24">
        <v>3</v>
      </c>
      <c r="N64" s="24" t="s">
        <v>77</v>
      </c>
      <c r="O64" s="24" t="s">
        <v>273</v>
      </c>
      <c r="P64" s="24" t="s">
        <v>241</v>
      </c>
      <c r="Q64" s="24" t="s">
        <v>287</v>
      </c>
      <c r="R64" s="24" t="s">
        <v>66</v>
      </c>
      <c r="S64" s="24" t="s">
        <v>38</v>
      </c>
      <c r="T64" s="24" t="s">
        <v>46</v>
      </c>
      <c r="U64" s="24" t="s">
        <v>115</v>
      </c>
    </row>
    <row r="65" spans="3:21" ht="21.9" customHeight="1" x14ac:dyDescent="0.3">
      <c r="C65" s="24">
        <v>479</v>
      </c>
      <c r="D65" s="45">
        <v>44170</v>
      </c>
      <c r="E65" s="24">
        <f t="shared" si="0"/>
        <v>12</v>
      </c>
      <c r="F65" s="46">
        <v>80</v>
      </c>
      <c r="G65" s="24" t="s">
        <v>80</v>
      </c>
      <c r="H65" s="24" t="s">
        <v>204</v>
      </c>
      <c r="I65" s="24" t="s">
        <v>207</v>
      </c>
      <c r="J65" s="24" t="s">
        <v>221</v>
      </c>
      <c r="K65" s="24" t="s">
        <v>229</v>
      </c>
      <c r="L65" s="24" t="s">
        <v>221</v>
      </c>
      <c r="M65" s="24">
        <v>2</v>
      </c>
      <c r="N65" s="24" t="s">
        <v>71</v>
      </c>
      <c r="O65" s="24" t="s">
        <v>271</v>
      </c>
      <c r="P65" s="24" t="s">
        <v>286</v>
      </c>
      <c r="Q65" s="24" t="s">
        <v>288</v>
      </c>
      <c r="R65" s="24" t="s">
        <v>62</v>
      </c>
      <c r="S65" s="24" t="s">
        <v>34</v>
      </c>
      <c r="T65" s="24" t="s">
        <v>47</v>
      </c>
      <c r="U65" s="24" t="s">
        <v>115</v>
      </c>
    </row>
    <row r="66" spans="3:21" ht="21.9" customHeight="1" x14ac:dyDescent="0.3">
      <c r="C66" s="24">
        <v>478</v>
      </c>
      <c r="D66" s="45">
        <v>44169</v>
      </c>
      <c r="E66" s="24">
        <f t="shared" si="0"/>
        <v>12</v>
      </c>
      <c r="F66" s="46">
        <v>70</v>
      </c>
      <c r="G66" s="24" t="s">
        <v>79</v>
      </c>
      <c r="H66" s="24" t="s">
        <v>205</v>
      </c>
      <c r="I66" s="24" t="s">
        <v>207</v>
      </c>
      <c r="J66" s="24" t="s">
        <v>221</v>
      </c>
      <c r="K66" s="24" t="s">
        <v>229</v>
      </c>
      <c r="L66" s="24" t="s">
        <v>221</v>
      </c>
      <c r="M66" s="24">
        <v>2</v>
      </c>
      <c r="N66" s="24" t="s">
        <v>77</v>
      </c>
      <c r="O66" s="24" t="s">
        <v>273</v>
      </c>
      <c r="P66" s="24" t="s">
        <v>241</v>
      </c>
      <c r="Q66" s="24" t="s">
        <v>287</v>
      </c>
      <c r="R66" s="24" t="s">
        <v>60</v>
      </c>
      <c r="S66" s="24" t="s">
        <v>32</v>
      </c>
      <c r="T66" s="24" t="s">
        <v>48</v>
      </c>
      <c r="U66" s="24" t="s">
        <v>113</v>
      </c>
    </row>
    <row r="67" spans="3:21" ht="21.9" customHeight="1" x14ac:dyDescent="0.3">
      <c r="C67" s="24">
        <v>477</v>
      </c>
      <c r="D67" s="45">
        <v>44168</v>
      </c>
      <c r="E67" s="24">
        <f t="shared" si="0"/>
        <v>12</v>
      </c>
      <c r="F67" s="46">
        <v>60</v>
      </c>
      <c r="G67" s="24" t="s">
        <v>78</v>
      </c>
      <c r="H67" s="24" t="s">
        <v>206</v>
      </c>
      <c r="I67" s="24" t="s">
        <v>207</v>
      </c>
      <c r="J67" s="24" t="s">
        <v>221</v>
      </c>
      <c r="K67" s="24" t="s">
        <v>229</v>
      </c>
      <c r="L67" s="24" t="s">
        <v>221</v>
      </c>
      <c r="M67" s="24">
        <v>2</v>
      </c>
      <c r="N67" s="24" t="s">
        <v>51</v>
      </c>
      <c r="O67" s="24" t="s">
        <v>269</v>
      </c>
      <c r="P67" s="24" t="s">
        <v>262</v>
      </c>
      <c r="Q67" s="24" t="s">
        <v>288</v>
      </c>
      <c r="R67" s="24" t="s">
        <v>63</v>
      </c>
      <c r="S67" s="24" t="s">
        <v>35</v>
      </c>
      <c r="T67" s="24" t="s">
        <v>45</v>
      </c>
      <c r="U67" s="24" t="s">
        <v>113</v>
      </c>
    </row>
    <row r="68" spans="3:21" ht="21.9" customHeight="1" x14ac:dyDescent="0.3">
      <c r="C68" s="24">
        <v>476</v>
      </c>
      <c r="D68" s="45">
        <v>44167</v>
      </c>
      <c r="E68" s="24">
        <f t="shared" si="0"/>
        <v>12</v>
      </c>
      <c r="F68" s="46">
        <v>1600</v>
      </c>
      <c r="G68" s="24" t="s">
        <v>121</v>
      </c>
      <c r="H68" s="24" t="s">
        <v>183</v>
      </c>
      <c r="I68" s="24" t="s">
        <v>207</v>
      </c>
      <c r="J68" s="24" t="s">
        <v>210</v>
      </c>
      <c r="K68" s="24" t="s">
        <v>184</v>
      </c>
      <c r="L68" s="24" t="s">
        <v>230</v>
      </c>
      <c r="M68" s="24">
        <v>1</v>
      </c>
      <c r="N68" s="24" t="s">
        <v>71</v>
      </c>
      <c r="O68" s="24" t="s">
        <v>271</v>
      </c>
      <c r="P68" s="24" t="s">
        <v>286</v>
      </c>
      <c r="Q68" s="24" t="s">
        <v>288</v>
      </c>
      <c r="R68" s="24" t="s">
        <v>53</v>
      </c>
      <c r="S68" s="24" t="s">
        <v>25</v>
      </c>
      <c r="T68" s="24" t="s">
        <v>45</v>
      </c>
      <c r="U68" s="24" t="s">
        <v>113</v>
      </c>
    </row>
    <row r="69" spans="3:21" ht="21.9" customHeight="1" x14ac:dyDescent="0.3">
      <c r="C69" s="24">
        <v>475</v>
      </c>
      <c r="D69" s="45">
        <v>44166</v>
      </c>
      <c r="E69" s="24">
        <f t="shared" si="0"/>
        <v>12</v>
      </c>
      <c r="F69" s="46">
        <v>5600</v>
      </c>
      <c r="G69" s="24" t="s">
        <v>120</v>
      </c>
      <c r="H69" s="24" t="s">
        <v>185</v>
      </c>
      <c r="I69" s="24" t="s">
        <v>207</v>
      </c>
      <c r="J69" s="24" t="s">
        <v>210</v>
      </c>
      <c r="K69" s="24" t="s">
        <v>184</v>
      </c>
      <c r="L69" s="24" t="s">
        <v>230</v>
      </c>
      <c r="M69" s="24">
        <v>2</v>
      </c>
      <c r="N69" s="24" t="s">
        <v>72</v>
      </c>
      <c r="O69" s="24" t="s">
        <v>250</v>
      </c>
      <c r="P69" s="24" t="s">
        <v>253</v>
      </c>
      <c r="Q69" s="24" t="s">
        <v>384</v>
      </c>
      <c r="R69" s="24" t="s">
        <v>57</v>
      </c>
      <c r="S69" s="24" t="s">
        <v>29</v>
      </c>
      <c r="T69" s="24" t="s">
        <v>49</v>
      </c>
      <c r="U69" s="24" t="s">
        <v>113</v>
      </c>
    </row>
    <row r="70" spans="3:21" ht="21.9" customHeight="1" x14ac:dyDescent="0.3">
      <c r="C70" s="24">
        <v>474</v>
      </c>
      <c r="D70" s="45">
        <v>44185</v>
      </c>
      <c r="E70" s="24">
        <f t="shared" si="0"/>
        <v>12</v>
      </c>
      <c r="F70" s="46">
        <v>240</v>
      </c>
      <c r="G70" s="24" t="s">
        <v>97</v>
      </c>
      <c r="H70" s="24" t="s">
        <v>189</v>
      </c>
      <c r="I70" s="24" t="s">
        <v>207</v>
      </c>
      <c r="J70" s="24" t="s">
        <v>211</v>
      </c>
      <c r="K70" s="24" t="s">
        <v>227</v>
      </c>
      <c r="L70" s="24" t="s">
        <v>186</v>
      </c>
      <c r="M70" s="24">
        <v>3</v>
      </c>
      <c r="N70" s="24" t="s">
        <v>71</v>
      </c>
      <c r="O70" s="24" t="s">
        <v>271</v>
      </c>
      <c r="P70" s="24" t="s">
        <v>286</v>
      </c>
      <c r="Q70" s="24" t="s">
        <v>288</v>
      </c>
      <c r="R70" s="24" t="s">
        <v>476</v>
      </c>
      <c r="S70" s="24" t="s">
        <v>477</v>
      </c>
      <c r="T70" s="24" t="s">
        <v>253</v>
      </c>
      <c r="U70" s="24" t="s">
        <v>113</v>
      </c>
    </row>
    <row r="71" spans="3:21" ht="21.9" customHeight="1" x14ac:dyDescent="0.3">
      <c r="C71" s="24">
        <v>473</v>
      </c>
      <c r="D71" s="45">
        <v>44184</v>
      </c>
      <c r="E71" s="24">
        <f t="shared" si="0"/>
        <v>12</v>
      </c>
      <c r="F71" s="46">
        <v>180</v>
      </c>
      <c r="G71" s="24" t="s">
        <v>96</v>
      </c>
      <c r="H71" s="24" t="s">
        <v>190</v>
      </c>
      <c r="I71" s="24" t="s">
        <v>208</v>
      </c>
      <c r="J71" s="24" t="s">
        <v>212</v>
      </c>
      <c r="K71" s="24" t="s">
        <v>227</v>
      </c>
      <c r="L71" s="24" t="s">
        <v>223</v>
      </c>
      <c r="M71" s="24">
        <v>3</v>
      </c>
      <c r="N71" s="24" t="s">
        <v>51</v>
      </c>
      <c r="O71" s="24" t="s">
        <v>269</v>
      </c>
      <c r="P71" s="24" t="s">
        <v>262</v>
      </c>
      <c r="Q71" s="24" t="s">
        <v>288</v>
      </c>
      <c r="R71" s="24" t="s">
        <v>437</v>
      </c>
      <c r="S71" s="24" t="s">
        <v>494</v>
      </c>
      <c r="T71" s="24" t="s">
        <v>262</v>
      </c>
      <c r="U71" s="24" t="s">
        <v>113</v>
      </c>
    </row>
    <row r="72" spans="3:21" ht="21.9" customHeight="1" x14ac:dyDescent="0.3">
      <c r="C72" s="24">
        <v>472</v>
      </c>
      <c r="D72" s="45">
        <v>44183</v>
      </c>
      <c r="E72" s="24">
        <f t="shared" si="0"/>
        <v>12</v>
      </c>
      <c r="F72" s="46">
        <v>100</v>
      </c>
      <c r="G72" s="24" t="s">
        <v>95</v>
      </c>
      <c r="H72" s="24" t="s">
        <v>191</v>
      </c>
      <c r="I72" s="24" t="s">
        <v>207</v>
      </c>
      <c r="J72" s="24" t="s">
        <v>222</v>
      </c>
      <c r="K72" s="24" t="s">
        <v>226</v>
      </c>
      <c r="L72" s="24" t="s">
        <v>231</v>
      </c>
      <c r="M72" s="24">
        <v>1</v>
      </c>
      <c r="N72" s="24" t="s">
        <v>51</v>
      </c>
      <c r="O72" s="24" t="s">
        <v>269</v>
      </c>
      <c r="P72" s="24" t="s">
        <v>262</v>
      </c>
      <c r="Q72" s="24" t="s">
        <v>288</v>
      </c>
      <c r="R72" s="24" t="s">
        <v>53</v>
      </c>
      <c r="S72" s="24" t="s">
        <v>25</v>
      </c>
      <c r="T72" s="24" t="s">
        <v>45</v>
      </c>
      <c r="U72" s="24" t="s">
        <v>113</v>
      </c>
    </row>
    <row r="73" spans="3:21" ht="21.9" customHeight="1" x14ac:dyDescent="0.3">
      <c r="C73" s="24">
        <v>471</v>
      </c>
      <c r="D73" s="45">
        <v>44182</v>
      </c>
      <c r="E73" s="24">
        <f t="shared" si="0"/>
        <v>12</v>
      </c>
      <c r="F73" s="46">
        <v>600</v>
      </c>
      <c r="G73" s="24" t="s">
        <v>94</v>
      </c>
      <c r="H73" s="24" t="s">
        <v>192</v>
      </c>
      <c r="I73" s="24" t="s">
        <v>207</v>
      </c>
      <c r="J73" s="24" t="s">
        <v>216</v>
      </c>
      <c r="K73" s="24" t="s">
        <v>187</v>
      </c>
      <c r="L73" s="24" t="s">
        <v>232</v>
      </c>
      <c r="M73" s="24">
        <v>2</v>
      </c>
      <c r="N73" s="24" t="s">
        <v>73</v>
      </c>
      <c r="O73" s="24" t="s">
        <v>268</v>
      </c>
      <c r="P73" s="24" t="s">
        <v>262</v>
      </c>
      <c r="Q73" s="24" t="s">
        <v>288</v>
      </c>
      <c r="R73" s="24" t="s">
        <v>55</v>
      </c>
      <c r="S73" s="24" t="s">
        <v>27</v>
      </c>
      <c r="T73" s="24" t="s">
        <v>47</v>
      </c>
      <c r="U73" s="24" t="s">
        <v>113</v>
      </c>
    </row>
    <row r="74" spans="3:21" ht="21.9" customHeight="1" x14ac:dyDescent="0.3">
      <c r="C74" s="24">
        <v>470</v>
      </c>
      <c r="D74" s="45">
        <v>44181</v>
      </c>
      <c r="E74" s="24">
        <f t="shared" si="0"/>
        <v>12</v>
      </c>
      <c r="F74" s="46">
        <v>350</v>
      </c>
      <c r="G74" s="24" t="s">
        <v>93</v>
      </c>
      <c r="H74" s="24" t="s">
        <v>193</v>
      </c>
      <c r="I74" s="24" t="s">
        <v>208</v>
      </c>
      <c r="J74" s="24" t="s">
        <v>218</v>
      </c>
      <c r="K74" s="24" t="s">
        <v>187</v>
      </c>
      <c r="L74" s="24" t="s">
        <v>186</v>
      </c>
      <c r="M74" s="24">
        <v>1</v>
      </c>
      <c r="N74" s="24" t="s">
        <v>71</v>
      </c>
      <c r="O74" s="24" t="s">
        <v>271</v>
      </c>
      <c r="P74" s="24" t="s">
        <v>286</v>
      </c>
      <c r="Q74" s="24" t="s">
        <v>288</v>
      </c>
      <c r="R74" s="24" t="s">
        <v>465</v>
      </c>
      <c r="S74" s="24" t="s">
        <v>499</v>
      </c>
      <c r="T74" s="24" t="s">
        <v>249</v>
      </c>
      <c r="U74" s="24" t="s">
        <v>113</v>
      </c>
    </row>
    <row r="75" spans="3:21" ht="21.9" customHeight="1" x14ac:dyDescent="0.3">
      <c r="C75" s="24">
        <v>469</v>
      </c>
      <c r="D75" s="45">
        <v>44180</v>
      </c>
      <c r="E75" s="24">
        <f t="shared" si="0"/>
        <v>12</v>
      </c>
      <c r="F75" s="46">
        <v>270</v>
      </c>
      <c r="G75" s="24" t="s">
        <v>92</v>
      </c>
      <c r="H75" s="24" t="s">
        <v>225</v>
      </c>
      <c r="I75" s="24" t="s">
        <v>207</v>
      </c>
      <c r="J75" s="24" t="s">
        <v>219</v>
      </c>
      <c r="K75" s="24" t="s">
        <v>226</v>
      </c>
      <c r="L75" s="24" t="s">
        <v>186</v>
      </c>
      <c r="M75" s="24">
        <v>1</v>
      </c>
      <c r="N75" s="24" t="s">
        <v>75</v>
      </c>
      <c r="O75" s="24" t="s">
        <v>26</v>
      </c>
      <c r="P75" s="24" t="s">
        <v>249</v>
      </c>
      <c r="Q75" s="24" t="s">
        <v>289</v>
      </c>
      <c r="R75" s="24" t="s">
        <v>454</v>
      </c>
      <c r="S75" s="24" t="s">
        <v>497</v>
      </c>
      <c r="T75" s="24" t="s">
        <v>253</v>
      </c>
      <c r="U75" s="24" t="s">
        <v>113</v>
      </c>
    </row>
    <row r="76" spans="3:21" ht="21.9" customHeight="1" x14ac:dyDescent="0.3">
      <c r="C76" s="24">
        <v>468</v>
      </c>
      <c r="D76" s="45">
        <v>44179</v>
      </c>
      <c r="E76" s="24">
        <f t="shared" si="0"/>
        <v>12</v>
      </c>
      <c r="F76" s="46">
        <v>500</v>
      </c>
      <c r="G76" s="24" t="s">
        <v>91</v>
      </c>
      <c r="H76" s="24" t="s">
        <v>194</v>
      </c>
      <c r="I76" s="24" t="s">
        <v>209</v>
      </c>
      <c r="J76" s="24" t="s">
        <v>219</v>
      </c>
      <c r="K76" s="24" t="s">
        <v>187</v>
      </c>
      <c r="L76" s="24" t="s">
        <v>186</v>
      </c>
      <c r="M76" s="24">
        <v>1</v>
      </c>
      <c r="N76" s="24" t="s">
        <v>380</v>
      </c>
      <c r="O76" s="24" t="s">
        <v>381</v>
      </c>
      <c r="P76" s="24" t="s">
        <v>46</v>
      </c>
      <c r="Q76" s="24" t="s">
        <v>384</v>
      </c>
      <c r="R76" s="24" t="s">
        <v>338</v>
      </c>
      <c r="S76" s="24" t="s">
        <v>311</v>
      </c>
      <c r="T76" s="24" t="s">
        <v>47</v>
      </c>
      <c r="U76" s="24" t="s">
        <v>115</v>
      </c>
    </row>
    <row r="77" spans="3:21" ht="21.9" customHeight="1" x14ac:dyDescent="0.3">
      <c r="C77" s="24">
        <v>467</v>
      </c>
      <c r="D77" s="45">
        <v>44178</v>
      </c>
      <c r="E77" s="24">
        <f t="shared" si="0"/>
        <v>12</v>
      </c>
      <c r="F77" s="46">
        <v>2700</v>
      </c>
      <c r="G77" s="24" t="s">
        <v>90</v>
      </c>
      <c r="H77" s="24" t="s">
        <v>188</v>
      </c>
      <c r="I77" s="24" t="s">
        <v>209</v>
      </c>
      <c r="J77" s="24" t="s">
        <v>220</v>
      </c>
      <c r="K77" s="24" t="s">
        <v>187</v>
      </c>
      <c r="L77" s="24" t="s">
        <v>220</v>
      </c>
      <c r="M77" s="24">
        <v>3</v>
      </c>
      <c r="N77" s="24" t="s">
        <v>75</v>
      </c>
      <c r="O77" s="24" t="s">
        <v>26</v>
      </c>
      <c r="P77" s="24" t="s">
        <v>249</v>
      </c>
      <c r="Q77" s="24" t="s">
        <v>289</v>
      </c>
      <c r="R77" s="24" t="s">
        <v>409</v>
      </c>
      <c r="S77" s="24" t="s">
        <v>489</v>
      </c>
      <c r="T77" s="24" t="s">
        <v>245</v>
      </c>
      <c r="U77" s="24" t="s">
        <v>113</v>
      </c>
    </row>
    <row r="78" spans="3:21" ht="21.9" customHeight="1" x14ac:dyDescent="0.3">
      <c r="C78" s="24">
        <v>466</v>
      </c>
      <c r="D78" s="45">
        <v>44177</v>
      </c>
      <c r="E78" s="24">
        <f t="shared" si="0"/>
        <v>12</v>
      </c>
      <c r="F78" s="46">
        <v>120</v>
      </c>
      <c r="G78" s="24" t="s">
        <v>89</v>
      </c>
      <c r="H78" s="24" t="s">
        <v>195</v>
      </c>
      <c r="I78" s="24" t="s">
        <v>207</v>
      </c>
      <c r="J78" s="24" t="s">
        <v>223</v>
      </c>
      <c r="K78" s="24" t="s">
        <v>226</v>
      </c>
      <c r="L78" s="24" t="s">
        <v>220</v>
      </c>
      <c r="M78" s="24">
        <v>2</v>
      </c>
      <c r="N78" s="24" t="s">
        <v>380</v>
      </c>
      <c r="O78" s="24" t="s">
        <v>381</v>
      </c>
      <c r="P78" s="24" t="s">
        <v>46</v>
      </c>
      <c r="Q78" s="24" t="s">
        <v>384</v>
      </c>
      <c r="R78" s="24" t="s">
        <v>64</v>
      </c>
      <c r="S78" s="24" t="s">
        <v>36</v>
      </c>
      <c r="T78" s="24" t="s">
        <v>327</v>
      </c>
      <c r="U78" s="24" t="s">
        <v>114</v>
      </c>
    </row>
    <row r="79" spans="3:21" ht="21.9" customHeight="1" x14ac:dyDescent="0.3">
      <c r="C79" s="24">
        <v>465</v>
      </c>
      <c r="D79" s="45">
        <v>44176</v>
      </c>
      <c r="E79" s="24">
        <f t="shared" si="0"/>
        <v>12</v>
      </c>
      <c r="F79" s="46">
        <v>140</v>
      </c>
      <c r="G79" s="24" t="s">
        <v>88</v>
      </c>
      <c r="H79" s="24" t="s">
        <v>196</v>
      </c>
      <c r="I79" s="24" t="s">
        <v>208</v>
      </c>
      <c r="J79" s="24" t="s">
        <v>216</v>
      </c>
      <c r="K79" s="24" t="s">
        <v>226</v>
      </c>
      <c r="L79" s="24" t="s">
        <v>230</v>
      </c>
      <c r="M79" s="24">
        <v>2</v>
      </c>
      <c r="N79" s="24" t="s">
        <v>51</v>
      </c>
      <c r="O79" s="24" t="s">
        <v>269</v>
      </c>
      <c r="P79" s="24" t="s">
        <v>262</v>
      </c>
      <c r="Q79" s="24" t="s">
        <v>288</v>
      </c>
      <c r="R79" s="24" t="s">
        <v>343</v>
      </c>
      <c r="S79" s="24" t="s">
        <v>325</v>
      </c>
      <c r="T79" s="24" t="s">
        <v>45</v>
      </c>
      <c r="U79" s="24" t="s">
        <v>116</v>
      </c>
    </row>
    <row r="80" spans="3:21" ht="21.9" customHeight="1" x14ac:dyDescent="0.3">
      <c r="C80" s="24">
        <v>464</v>
      </c>
      <c r="D80" s="45">
        <v>44175</v>
      </c>
      <c r="E80" s="24">
        <f t="shared" si="0"/>
        <v>12</v>
      </c>
      <c r="F80" s="46">
        <v>152</v>
      </c>
      <c r="G80" s="24" t="s">
        <v>87</v>
      </c>
      <c r="H80" s="24" t="s">
        <v>197</v>
      </c>
      <c r="I80" s="24" t="s">
        <v>208</v>
      </c>
      <c r="J80" s="24" t="s">
        <v>222</v>
      </c>
      <c r="K80" s="24" t="s">
        <v>226</v>
      </c>
      <c r="L80" s="24" t="s">
        <v>230</v>
      </c>
      <c r="M80" s="24">
        <v>2</v>
      </c>
      <c r="N80" s="24" t="s">
        <v>380</v>
      </c>
      <c r="O80" s="24" t="s">
        <v>381</v>
      </c>
      <c r="P80" s="24" t="s">
        <v>46</v>
      </c>
      <c r="Q80" s="24" t="s">
        <v>384</v>
      </c>
      <c r="R80" s="24" t="s">
        <v>62</v>
      </c>
      <c r="S80" s="24" t="s">
        <v>34</v>
      </c>
      <c r="T80" s="24" t="s">
        <v>47</v>
      </c>
      <c r="U80" s="24" t="s">
        <v>115</v>
      </c>
    </row>
    <row r="81" spans="3:21" ht="21.9" customHeight="1" x14ac:dyDescent="0.3">
      <c r="C81" s="24">
        <v>463</v>
      </c>
      <c r="D81" s="45">
        <v>44174</v>
      </c>
      <c r="E81" s="24">
        <f t="shared" si="0"/>
        <v>12</v>
      </c>
      <c r="F81" s="46">
        <v>1200</v>
      </c>
      <c r="G81" s="24" t="s">
        <v>86</v>
      </c>
      <c r="H81" s="24" t="s">
        <v>198</v>
      </c>
      <c r="I81" s="24" t="s">
        <v>207</v>
      </c>
      <c r="J81" s="24" t="s">
        <v>224</v>
      </c>
      <c r="K81" s="24" t="s">
        <v>228</v>
      </c>
      <c r="L81" s="24" t="s">
        <v>230</v>
      </c>
      <c r="M81" s="24">
        <v>2</v>
      </c>
      <c r="N81" s="24" t="s">
        <v>72</v>
      </c>
      <c r="O81" s="24" t="s">
        <v>250</v>
      </c>
      <c r="P81" s="24" t="s">
        <v>253</v>
      </c>
      <c r="Q81" s="24" t="s">
        <v>384</v>
      </c>
      <c r="R81" s="24" t="s">
        <v>344</v>
      </c>
      <c r="S81" s="24" t="s">
        <v>328</v>
      </c>
      <c r="T81" s="24" t="s">
        <v>46</v>
      </c>
      <c r="U81" s="24" t="s">
        <v>115</v>
      </c>
    </row>
    <row r="82" spans="3:21" ht="21.9" customHeight="1" x14ac:dyDescent="0.3">
      <c r="C82" s="24">
        <v>462</v>
      </c>
      <c r="D82" s="45">
        <v>44173</v>
      </c>
      <c r="E82" s="24">
        <f t="shared" si="0"/>
        <v>12</v>
      </c>
      <c r="F82" s="46">
        <v>170</v>
      </c>
      <c r="G82" s="24" t="s">
        <v>85</v>
      </c>
      <c r="H82" s="24" t="s">
        <v>199</v>
      </c>
      <c r="I82" s="24" t="s">
        <v>209</v>
      </c>
      <c r="J82" s="24" t="s">
        <v>216</v>
      </c>
      <c r="K82" s="24" t="s">
        <v>228</v>
      </c>
      <c r="L82" s="24" t="s">
        <v>221</v>
      </c>
      <c r="M82" s="24">
        <v>1</v>
      </c>
      <c r="N82" s="24" t="s">
        <v>74</v>
      </c>
      <c r="O82" s="24" t="s">
        <v>270</v>
      </c>
      <c r="P82" s="24" t="s">
        <v>260</v>
      </c>
      <c r="Q82" s="24" t="s">
        <v>288</v>
      </c>
      <c r="R82" s="24" t="s">
        <v>347</v>
      </c>
      <c r="S82" s="24" t="s">
        <v>335</v>
      </c>
      <c r="T82" s="24" t="s">
        <v>49</v>
      </c>
      <c r="U82" s="24" t="s">
        <v>113</v>
      </c>
    </row>
    <row r="83" spans="3:21" ht="21.9" customHeight="1" x14ac:dyDescent="0.3">
      <c r="C83" s="24">
        <v>461</v>
      </c>
      <c r="D83" s="45">
        <v>44172</v>
      </c>
      <c r="E83" s="24">
        <f t="shared" si="0"/>
        <v>12</v>
      </c>
      <c r="F83" s="46">
        <v>400</v>
      </c>
      <c r="G83" s="24" t="s">
        <v>84</v>
      </c>
      <c r="H83" s="24" t="s">
        <v>200</v>
      </c>
      <c r="I83" s="24" t="s">
        <v>208</v>
      </c>
      <c r="J83" s="24" t="s">
        <v>222</v>
      </c>
      <c r="K83" s="24" t="s">
        <v>228</v>
      </c>
      <c r="L83" s="24" t="s">
        <v>220</v>
      </c>
      <c r="M83" s="24">
        <v>1</v>
      </c>
      <c r="N83" s="24" t="s">
        <v>73</v>
      </c>
      <c r="O83" s="24" t="s">
        <v>268</v>
      </c>
      <c r="P83" s="24" t="s">
        <v>262</v>
      </c>
      <c r="Q83" s="24" t="s">
        <v>288</v>
      </c>
      <c r="R83" s="24" t="s">
        <v>66</v>
      </c>
      <c r="S83" s="24" t="s">
        <v>38</v>
      </c>
      <c r="T83" s="24" t="s">
        <v>46</v>
      </c>
      <c r="U83" s="24" t="s">
        <v>115</v>
      </c>
    </row>
    <row r="84" spans="3:21" ht="21.9" customHeight="1" x14ac:dyDescent="0.3">
      <c r="C84" s="24">
        <v>460</v>
      </c>
      <c r="D84" s="45">
        <v>44171</v>
      </c>
      <c r="E84" s="24">
        <f t="shared" si="0"/>
        <v>12</v>
      </c>
      <c r="F84" s="46">
        <v>2400</v>
      </c>
      <c r="G84" s="24" t="s">
        <v>83</v>
      </c>
      <c r="H84" s="24" t="s">
        <v>201</v>
      </c>
      <c r="I84" s="24" t="s">
        <v>208</v>
      </c>
      <c r="J84" s="24" t="s">
        <v>222</v>
      </c>
      <c r="K84" s="24" t="s">
        <v>226</v>
      </c>
      <c r="L84" s="24" t="s">
        <v>230</v>
      </c>
      <c r="M84" s="24">
        <v>3</v>
      </c>
      <c r="N84" s="24" t="s">
        <v>74</v>
      </c>
      <c r="O84" s="24" t="s">
        <v>270</v>
      </c>
      <c r="P84" s="24" t="s">
        <v>260</v>
      </c>
      <c r="Q84" s="24" t="s">
        <v>288</v>
      </c>
      <c r="R84" s="24" t="s">
        <v>290</v>
      </c>
      <c r="S84" s="24" t="s">
        <v>296</v>
      </c>
      <c r="T84" s="24" t="s">
        <v>45</v>
      </c>
      <c r="U84" s="24" t="s">
        <v>113</v>
      </c>
    </row>
    <row r="85" spans="3:21" ht="21.9" customHeight="1" x14ac:dyDescent="0.3">
      <c r="C85" s="24">
        <v>459</v>
      </c>
      <c r="D85" s="45">
        <v>44170</v>
      </c>
      <c r="E85" s="24">
        <f t="shared" si="0"/>
        <v>12</v>
      </c>
      <c r="F85" s="46">
        <v>800</v>
      </c>
      <c r="G85" s="24" t="s">
        <v>82</v>
      </c>
      <c r="H85" s="24" t="s">
        <v>202</v>
      </c>
      <c r="I85" s="24" t="s">
        <v>207</v>
      </c>
      <c r="J85" s="24" t="s">
        <v>222</v>
      </c>
      <c r="K85" s="24" t="s">
        <v>226</v>
      </c>
      <c r="L85" s="24" t="s">
        <v>230</v>
      </c>
      <c r="M85" s="24">
        <v>2</v>
      </c>
      <c r="N85" s="24" t="s">
        <v>74</v>
      </c>
      <c r="O85" s="24" t="s">
        <v>270</v>
      </c>
      <c r="P85" s="24" t="s">
        <v>260</v>
      </c>
      <c r="Q85" s="24" t="s">
        <v>288</v>
      </c>
      <c r="R85" s="24" t="s">
        <v>448</v>
      </c>
      <c r="S85" s="24" t="s">
        <v>496</v>
      </c>
      <c r="T85" s="24" t="s">
        <v>451</v>
      </c>
      <c r="U85" s="24" t="s">
        <v>113</v>
      </c>
    </row>
    <row r="86" spans="3:21" ht="21.9" customHeight="1" x14ac:dyDescent="0.3">
      <c r="C86" s="24">
        <v>458</v>
      </c>
      <c r="D86" s="45">
        <v>44169</v>
      </c>
      <c r="E86" s="24">
        <f t="shared" si="0"/>
        <v>12</v>
      </c>
      <c r="F86" s="46">
        <v>750</v>
      </c>
      <c r="G86" s="24" t="s">
        <v>81</v>
      </c>
      <c r="H86" s="24" t="s">
        <v>203</v>
      </c>
      <c r="I86" s="24" t="s">
        <v>207</v>
      </c>
      <c r="J86" s="24" t="s">
        <v>223</v>
      </c>
      <c r="K86" s="24" t="s">
        <v>226</v>
      </c>
      <c r="L86" s="24" t="s">
        <v>230</v>
      </c>
      <c r="M86" s="24">
        <v>3</v>
      </c>
      <c r="N86" s="24" t="s">
        <v>380</v>
      </c>
      <c r="O86" s="24" t="s">
        <v>381</v>
      </c>
      <c r="P86" s="24" t="s">
        <v>46</v>
      </c>
      <c r="Q86" s="24" t="s">
        <v>384</v>
      </c>
      <c r="R86" s="24" t="s">
        <v>481</v>
      </c>
      <c r="S86" s="24" t="s">
        <v>501</v>
      </c>
      <c r="T86" s="24" t="s">
        <v>49</v>
      </c>
      <c r="U86" s="24" t="s">
        <v>115</v>
      </c>
    </row>
    <row r="87" spans="3:21" ht="21.9" customHeight="1" x14ac:dyDescent="0.3">
      <c r="C87" s="24">
        <v>457</v>
      </c>
      <c r="D87" s="45">
        <v>44168</v>
      </c>
      <c r="E87" s="24">
        <f t="shared" si="0"/>
        <v>12</v>
      </c>
      <c r="F87" s="46">
        <v>40</v>
      </c>
      <c r="G87" s="24" t="s">
        <v>80</v>
      </c>
      <c r="H87" s="24" t="s">
        <v>204</v>
      </c>
      <c r="I87" s="24" t="s">
        <v>207</v>
      </c>
      <c r="J87" s="24" t="s">
        <v>221</v>
      </c>
      <c r="K87" s="24" t="s">
        <v>229</v>
      </c>
      <c r="L87" s="24" t="s">
        <v>221</v>
      </c>
      <c r="M87" s="24">
        <v>1</v>
      </c>
      <c r="N87" s="24" t="s">
        <v>73</v>
      </c>
      <c r="O87" s="24" t="s">
        <v>268</v>
      </c>
      <c r="P87" s="24" t="s">
        <v>262</v>
      </c>
      <c r="Q87" s="24" t="s">
        <v>288</v>
      </c>
      <c r="R87" s="24" t="s">
        <v>339</v>
      </c>
      <c r="S87" s="24" t="s">
        <v>314</v>
      </c>
      <c r="T87" s="24" t="s">
        <v>44</v>
      </c>
      <c r="U87" s="24" t="s">
        <v>113</v>
      </c>
    </row>
    <row r="88" spans="3:21" ht="21.9" customHeight="1" x14ac:dyDescent="0.3">
      <c r="C88" s="24">
        <v>456</v>
      </c>
      <c r="D88" s="45">
        <v>44167</v>
      </c>
      <c r="E88" s="24">
        <f t="shared" si="0"/>
        <v>12</v>
      </c>
      <c r="F88" s="46">
        <v>35</v>
      </c>
      <c r="G88" s="24" t="s">
        <v>79</v>
      </c>
      <c r="H88" s="24" t="s">
        <v>205</v>
      </c>
      <c r="I88" s="24" t="s">
        <v>207</v>
      </c>
      <c r="J88" s="24" t="s">
        <v>221</v>
      </c>
      <c r="K88" s="24" t="s">
        <v>229</v>
      </c>
      <c r="L88" s="24" t="s">
        <v>221</v>
      </c>
      <c r="M88" s="24">
        <v>1</v>
      </c>
      <c r="N88" s="24" t="s">
        <v>380</v>
      </c>
      <c r="O88" s="24" t="s">
        <v>381</v>
      </c>
      <c r="P88" s="24" t="s">
        <v>46</v>
      </c>
      <c r="Q88" s="24" t="s">
        <v>384</v>
      </c>
      <c r="R88" s="24" t="s">
        <v>338</v>
      </c>
      <c r="S88" s="24" t="s">
        <v>311</v>
      </c>
      <c r="T88" s="24" t="s">
        <v>47</v>
      </c>
      <c r="U88" s="24" t="s">
        <v>115</v>
      </c>
    </row>
    <row r="89" spans="3:21" ht="21.9" customHeight="1" x14ac:dyDescent="0.3">
      <c r="C89" s="24">
        <v>455</v>
      </c>
      <c r="D89" s="45">
        <v>44166</v>
      </c>
      <c r="E89" s="24">
        <f t="shared" si="0"/>
        <v>12</v>
      </c>
      <c r="F89" s="46">
        <v>90</v>
      </c>
      <c r="G89" s="24" t="s">
        <v>78</v>
      </c>
      <c r="H89" s="24" t="s">
        <v>206</v>
      </c>
      <c r="I89" s="24" t="s">
        <v>207</v>
      </c>
      <c r="J89" s="24" t="s">
        <v>221</v>
      </c>
      <c r="K89" s="24" t="s">
        <v>229</v>
      </c>
      <c r="L89" s="24" t="s">
        <v>221</v>
      </c>
      <c r="M89" s="24">
        <v>3</v>
      </c>
      <c r="N89" s="24" t="s">
        <v>73</v>
      </c>
      <c r="O89" s="24" t="s">
        <v>268</v>
      </c>
      <c r="P89" s="24" t="s">
        <v>262</v>
      </c>
      <c r="Q89" s="24" t="s">
        <v>288</v>
      </c>
      <c r="R89" s="24" t="s">
        <v>338</v>
      </c>
      <c r="S89" s="24" t="s">
        <v>311</v>
      </c>
      <c r="T89" s="24" t="s">
        <v>47</v>
      </c>
      <c r="U89" s="24" t="s">
        <v>115</v>
      </c>
    </row>
    <row r="90" spans="3:21" ht="21.9" customHeight="1" x14ac:dyDescent="0.3">
      <c r="C90" s="24">
        <v>454</v>
      </c>
      <c r="D90" s="45">
        <v>44162</v>
      </c>
      <c r="E90" s="24">
        <f t="shared" si="0"/>
        <v>11</v>
      </c>
      <c r="F90" s="46">
        <v>4800</v>
      </c>
      <c r="G90" s="24" t="s">
        <v>121</v>
      </c>
      <c r="H90" s="24" t="s">
        <v>183</v>
      </c>
      <c r="I90" s="24" t="s">
        <v>207</v>
      </c>
      <c r="J90" s="24" t="s">
        <v>210</v>
      </c>
      <c r="K90" s="24" t="s">
        <v>184</v>
      </c>
      <c r="L90" s="24" t="s">
        <v>230</v>
      </c>
      <c r="M90" s="24">
        <v>3</v>
      </c>
      <c r="N90" s="24" t="s">
        <v>380</v>
      </c>
      <c r="O90" s="24" t="s">
        <v>381</v>
      </c>
      <c r="P90" s="24" t="s">
        <v>46</v>
      </c>
      <c r="Q90" s="24" t="s">
        <v>384</v>
      </c>
      <c r="R90" s="24" t="s">
        <v>465</v>
      </c>
      <c r="S90" s="24" t="s">
        <v>499</v>
      </c>
      <c r="T90" s="24" t="s">
        <v>249</v>
      </c>
      <c r="U90" s="24" t="s">
        <v>113</v>
      </c>
    </row>
    <row r="91" spans="3:21" ht="21.9" customHeight="1" x14ac:dyDescent="0.3">
      <c r="C91" s="24">
        <v>453</v>
      </c>
      <c r="D91" s="45">
        <v>44161</v>
      </c>
      <c r="E91" s="24">
        <f t="shared" si="0"/>
        <v>11</v>
      </c>
      <c r="F91" s="46">
        <v>5600</v>
      </c>
      <c r="G91" s="24" t="s">
        <v>120</v>
      </c>
      <c r="H91" s="24" t="s">
        <v>185</v>
      </c>
      <c r="I91" s="24" t="s">
        <v>207</v>
      </c>
      <c r="J91" s="24" t="s">
        <v>210</v>
      </c>
      <c r="K91" s="24" t="s">
        <v>184</v>
      </c>
      <c r="L91" s="24" t="s">
        <v>230</v>
      </c>
      <c r="M91" s="24">
        <v>2</v>
      </c>
      <c r="N91" s="24" t="s">
        <v>76</v>
      </c>
      <c r="O91" s="24" t="s">
        <v>272</v>
      </c>
      <c r="P91" s="24" t="s">
        <v>245</v>
      </c>
      <c r="Q91" s="24" t="s">
        <v>288</v>
      </c>
      <c r="R91" s="24" t="s">
        <v>70</v>
      </c>
      <c r="S91" s="24" t="s">
        <v>42</v>
      </c>
      <c r="T91" s="24" t="s">
        <v>47</v>
      </c>
      <c r="U91" s="24" t="s">
        <v>114</v>
      </c>
    </row>
    <row r="92" spans="3:21" ht="21.9" customHeight="1" x14ac:dyDescent="0.3">
      <c r="C92" s="24">
        <v>452</v>
      </c>
      <c r="D92" s="45">
        <v>44160</v>
      </c>
      <c r="E92" s="24">
        <f t="shared" si="0"/>
        <v>11</v>
      </c>
      <c r="F92" s="46">
        <v>240</v>
      </c>
      <c r="G92" s="24" t="s">
        <v>97</v>
      </c>
      <c r="H92" s="24" t="s">
        <v>189</v>
      </c>
      <c r="I92" s="24" t="s">
        <v>207</v>
      </c>
      <c r="J92" s="24" t="s">
        <v>211</v>
      </c>
      <c r="K92" s="24" t="s">
        <v>227</v>
      </c>
      <c r="L92" s="24" t="s">
        <v>186</v>
      </c>
      <c r="M92" s="24">
        <v>3</v>
      </c>
      <c r="N92" s="24" t="s">
        <v>71</v>
      </c>
      <c r="O92" s="24" t="s">
        <v>271</v>
      </c>
      <c r="P92" s="24" t="s">
        <v>286</v>
      </c>
      <c r="Q92" s="24" t="s">
        <v>288</v>
      </c>
      <c r="R92" s="24" t="s">
        <v>65</v>
      </c>
      <c r="S92" s="24" t="s">
        <v>37</v>
      </c>
      <c r="T92" s="24" t="s">
        <v>48</v>
      </c>
      <c r="U92" s="24" t="s">
        <v>113</v>
      </c>
    </row>
    <row r="93" spans="3:21" ht="21.9" customHeight="1" x14ac:dyDescent="0.3">
      <c r="C93" s="24">
        <v>451</v>
      </c>
      <c r="D93" s="45">
        <v>44159</v>
      </c>
      <c r="E93" s="24">
        <f t="shared" si="0"/>
        <v>11</v>
      </c>
      <c r="F93" s="46">
        <v>180</v>
      </c>
      <c r="G93" s="24" t="s">
        <v>96</v>
      </c>
      <c r="H93" s="24" t="s">
        <v>190</v>
      </c>
      <c r="I93" s="24" t="s">
        <v>208</v>
      </c>
      <c r="J93" s="24" t="s">
        <v>212</v>
      </c>
      <c r="K93" s="24" t="s">
        <v>227</v>
      </c>
      <c r="L93" s="24" t="s">
        <v>223</v>
      </c>
      <c r="M93" s="24">
        <v>3</v>
      </c>
      <c r="N93" s="24" t="s">
        <v>75</v>
      </c>
      <c r="O93" s="24" t="s">
        <v>26</v>
      </c>
      <c r="P93" s="24" t="s">
        <v>249</v>
      </c>
      <c r="Q93" s="24" t="s">
        <v>289</v>
      </c>
      <c r="R93" s="24" t="s">
        <v>454</v>
      </c>
      <c r="S93" s="24" t="s">
        <v>497</v>
      </c>
      <c r="T93" s="24" t="s">
        <v>253</v>
      </c>
      <c r="U93" s="24" t="s">
        <v>113</v>
      </c>
    </row>
    <row r="94" spans="3:21" ht="21.9" customHeight="1" x14ac:dyDescent="0.3">
      <c r="C94" s="24">
        <v>450</v>
      </c>
      <c r="D94" s="45">
        <v>44158</v>
      </c>
      <c r="E94" s="24">
        <f t="shared" si="0"/>
        <v>11</v>
      </c>
      <c r="F94" s="46">
        <v>200</v>
      </c>
      <c r="G94" s="24" t="s">
        <v>95</v>
      </c>
      <c r="H94" s="24" t="s">
        <v>191</v>
      </c>
      <c r="I94" s="24" t="s">
        <v>207</v>
      </c>
      <c r="J94" s="24" t="s">
        <v>222</v>
      </c>
      <c r="K94" s="24" t="s">
        <v>226</v>
      </c>
      <c r="L94" s="24" t="s">
        <v>231</v>
      </c>
      <c r="M94" s="24">
        <v>2</v>
      </c>
      <c r="N94" s="24" t="s">
        <v>75</v>
      </c>
      <c r="O94" s="24" t="s">
        <v>26</v>
      </c>
      <c r="P94" s="24" t="s">
        <v>249</v>
      </c>
      <c r="Q94" s="24" t="s">
        <v>289</v>
      </c>
      <c r="R94" s="24" t="s">
        <v>290</v>
      </c>
      <c r="S94" s="24" t="s">
        <v>296</v>
      </c>
      <c r="T94" s="24" t="s">
        <v>45</v>
      </c>
      <c r="U94" s="24" t="s">
        <v>113</v>
      </c>
    </row>
    <row r="95" spans="3:21" ht="21.9" customHeight="1" x14ac:dyDescent="0.3">
      <c r="C95" s="24">
        <v>449</v>
      </c>
      <c r="D95" s="45">
        <v>44157</v>
      </c>
      <c r="E95" s="24">
        <f t="shared" si="0"/>
        <v>11</v>
      </c>
      <c r="F95" s="46">
        <v>600</v>
      </c>
      <c r="G95" s="24" t="s">
        <v>94</v>
      </c>
      <c r="H95" s="24" t="s">
        <v>192</v>
      </c>
      <c r="I95" s="24" t="s">
        <v>207</v>
      </c>
      <c r="J95" s="24" t="s">
        <v>216</v>
      </c>
      <c r="K95" s="24" t="s">
        <v>187</v>
      </c>
      <c r="L95" s="24" t="s">
        <v>232</v>
      </c>
      <c r="M95" s="24">
        <v>2</v>
      </c>
      <c r="N95" s="24" t="s">
        <v>74</v>
      </c>
      <c r="O95" s="24" t="s">
        <v>270</v>
      </c>
      <c r="P95" s="24" t="s">
        <v>260</v>
      </c>
      <c r="Q95" s="24" t="s">
        <v>288</v>
      </c>
      <c r="R95" s="24" t="s">
        <v>339</v>
      </c>
      <c r="S95" s="24" t="s">
        <v>314</v>
      </c>
      <c r="T95" s="24" t="s">
        <v>44</v>
      </c>
      <c r="U95" s="24" t="s">
        <v>113</v>
      </c>
    </row>
    <row r="96" spans="3:21" ht="21.9" customHeight="1" x14ac:dyDescent="0.3">
      <c r="C96" s="24">
        <v>448</v>
      </c>
      <c r="D96" s="45">
        <v>44156</v>
      </c>
      <c r="E96" s="24">
        <f t="shared" si="0"/>
        <v>11</v>
      </c>
      <c r="F96" s="46">
        <v>350</v>
      </c>
      <c r="G96" s="24" t="s">
        <v>93</v>
      </c>
      <c r="H96" s="24" t="s">
        <v>193</v>
      </c>
      <c r="I96" s="24" t="s">
        <v>208</v>
      </c>
      <c r="J96" s="24" t="s">
        <v>218</v>
      </c>
      <c r="K96" s="24" t="s">
        <v>187</v>
      </c>
      <c r="L96" s="24" t="s">
        <v>186</v>
      </c>
      <c r="M96" s="24">
        <v>1</v>
      </c>
      <c r="N96" s="24" t="s">
        <v>74</v>
      </c>
      <c r="O96" s="24" t="s">
        <v>270</v>
      </c>
      <c r="P96" s="24" t="s">
        <v>260</v>
      </c>
      <c r="Q96" s="24" t="s">
        <v>288</v>
      </c>
      <c r="R96" s="24" t="s">
        <v>459</v>
      </c>
      <c r="S96" s="24" t="s">
        <v>498</v>
      </c>
      <c r="T96" s="24" t="s">
        <v>462</v>
      </c>
      <c r="U96" s="24" t="s">
        <v>113</v>
      </c>
    </row>
    <row r="97" spans="3:21" ht="21.9" customHeight="1" x14ac:dyDescent="0.3">
      <c r="C97" s="24">
        <v>447</v>
      </c>
      <c r="D97" s="45">
        <v>44155</v>
      </c>
      <c r="E97" s="24">
        <f t="shared" si="0"/>
        <v>11</v>
      </c>
      <c r="F97" s="46">
        <v>810</v>
      </c>
      <c r="G97" s="24" t="s">
        <v>92</v>
      </c>
      <c r="H97" s="24" t="s">
        <v>225</v>
      </c>
      <c r="I97" s="24" t="s">
        <v>207</v>
      </c>
      <c r="J97" s="24" t="s">
        <v>219</v>
      </c>
      <c r="K97" s="24" t="s">
        <v>226</v>
      </c>
      <c r="L97" s="24" t="s">
        <v>186</v>
      </c>
      <c r="M97" s="24">
        <v>3</v>
      </c>
      <c r="N97" s="24" t="s">
        <v>71</v>
      </c>
      <c r="O97" s="24" t="s">
        <v>271</v>
      </c>
      <c r="P97" s="24" t="s">
        <v>286</v>
      </c>
      <c r="Q97" s="24" t="s">
        <v>288</v>
      </c>
      <c r="R97" s="24" t="s">
        <v>59</v>
      </c>
      <c r="S97" s="24" t="s">
        <v>31</v>
      </c>
      <c r="T97" s="24" t="s">
        <v>327</v>
      </c>
      <c r="U97" s="24" t="s">
        <v>114</v>
      </c>
    </row>
    <row r="98" spans="3:21" ht="21.9" customHeight="1" x14ac:dyDescent="0.3">
      <c r="C98" s="24">
        <v>446</v>
      </c>
      <c r="D98" s="45">
        <v>44154</v>
      </c>
      <c r="E98" s="24">
        <f t="shared" si="0"/>
        <v>11</v>
      </c>
      <c r="F98" s="46">
        <v>1000</v>
      </c>
      <c r="G98" s="24" t="s">
        <v>91</v>
      </c>
      <c r="H98" s="24" t="s">
        <v>194</v>
      </c>
      <c r="I98" s="24" t="s">
        <v>209</v>
      </c>
      <c r="J98" s="24" t="s">
        <v>219</v>
      </c>
      <c r="K98" s="24" t="s">
        <v>187</v>
      </c>
      <c r="L98" s="24" t="s">
        <v>186</v>
      </c>
      <c r="M98" s="24">
        <v>2</v>
      </c>
      <c r="N98" s="24" t="s">
        <v>380</v>
      </c>
      <c r="O98" s="24" t="s">
        <v>381</v>
      </c>
      <c r="P98" s="24" t="s">
        <v>46</v>
      </c>
      <c r="Q98" s="24" t="s">
        <v>384</v>
      </c>
      <c r="R98" s="24" t="s">
        <v>69</v>
      </c>
      <c r="S98" s="24" t="s">
        <v>41</v>
      </c>
      <c r="T98" s="24" t="s">
        <v>44</v>
      </c>
      <c r="U98" s="24" t="s">
        <v>113</v>
      </c>
    </row>
    <row r="99" spans="3:21" ht="21.9" customHeight="1" x14ac:dyDescent="0.3">
      <c r="C99" s="24">
        <v>445</v>
      </c>
      <c r="D99" s="45">
        <v>44153</v>
      </c>
      <c r="E99" s="24">
        <f t="shared" si="0"/>
        <v>11</v>
      </c>
      <c r="F99" s="46">
        <v>2700</v>
      </c>
      <c r="G99" s="24" t="s">
        <v>90</v>
      </c>
      <c r="H99" s="24" t="s">
        <v>188</v>
      </c>
      <c r="I99" s="24" t="s">
        <v>209</v>
      </c>
      <c r="J99" s="24" t="s">
        <v>220</v>
      </c>
      <c r="K99" s="24" t="s">
        <v>187</v>
      </c>
      <c r="L99" s="24" t="s">
        <v>220</v>
      </c>
      <c r="M99" s="24">
        <v>3</v>
      </c>
      <c r="N99" s="24" t="s">
        <v>72</v>
      </c>
      <c r="O99" s="24" t="s">
        <v>250</v>
      </c>
      <c r="P99" s="24" t="s">
        <v>253</v>
      </c>
      <c r="Q99" s="24" t="s">
        <v>384</v>
      </c>
      <c r="R99" s="24" t="s">
        <v>465</v>
      </c>
      <c r="S99" s="24" t="s">
        <v>499</v>
      </c>
      <c r="T99" s="24" t="s">
        <v>249</v>
      </c>
      <c r="U99" s="24" t="s">
        <v>113</v>
      </c>
    </row>
    <row r="100" spans="3:21" ht="21.9" customHeight="1" x14ac:dyDescent="0.3">
      <c r="C100" s="24">
        <v>444</v>
      </c>
      <c r="D100" s="45">
        <v>44152</v>
      </c>
      <c r="E100" s="24">
        <f t="shared" si="0"/>
        <v>11</v>
      </c>
      <c r="F100" s="46">
        <v>180</v>
      </c>
      <c r="G100" s="24" t="s">
        <v>89</v>
      </c>
      <c r="H100" s="24" t="s">
        <v>195</v>
      </c>
      <c r="I100" s="24" t="s">
        <v>207</v>
      </c>
      <c r="J100" s="24" t="s">
        <v>223</v>
      </c>
      <c r="K100" s="24" t="s">
        <v>226</v>
      </c>
      <c r="L100" s="24" t="s">
        <v>220</v>
      </c>
      <c r="M100" s="24">
        <v>3</v>
      </c>
      <c r="N100" s="24" t="s">
        <v>76</v>
      </c>
      <c r="O100" s="24" t="s">
        <v>272</v>
      </c>
      <c r="P100" s="24" t="s">
        <v>245</v>
      </c>
      <c r="Q100" s="24" t="s">
        <v>288</v>
      </c>
      <c r="R100" s="24" t="s">
        <v>64</v>
      </c>
      <c r="S100" s="24" t="s">
        <v>36</v>
      </c>
      <c r="T100" s="24" t="s">
        <v>327</v>
      </c>
      <c r="U100" s="24" t="s">
        <v>114</v>
      </c>
    </row>
    <row r="101" spans="3:21" ht="21.9" customHeight="1" x14ac:dyDescent="0.3">
      <c r="C101" s="24">
        <v>443</v>
      </c>
      <c r="D101" s="45">
        <v>44151</v>
      </c>
      <c r="E101" s="24">
        <f t="shared" si="0"/>
        <v>11</v>
      </c>
      <c r="F101" s="46">
        <v>70</v>
      </c>
      <c r="G101" s="24" t="s">
        <v>88</v>
      </c>
      <c r="H101" s="24" t="s">
        <v>196</v>
      </c>
      <c r="I101" s="24" t="s">
        <v>208</v>
      </c>
      <c r="J101" s="24" t="s">
        <v>216</v>
      </c>
      <c r="K101" s="24" t="s">
        <v>226</v>
      </c>
      <c r="L101" s="24" t="s">
        <v>230</v>
      </c>
      <c r="M101" s="24">
        <v>1</v>
      </c>
      <c r="N101" s="24" t="s">
        <v>75</v>
      </c>
      <c r="O101" s="24" t="s">
        <v>26</v>
      </c>
      <c r="P101" s="24" t="s">
        <v>249</v>
      </c>
      <c r="Q101" s="24" t="s">
        <v>289</v>
      </c>
      <c r="R101" s="24" t="s">
        <v>398</v>
      </c>
      <c r="S101" s="24" t="s">
        <v>487</v>
      </c>
      <c r="T101" s="24" t="s">
        <v>401</v>
      </c>
      <c r="U101" s="24" t="s">
        <v>113</v>
      </c>
    </row>
    <row r="102" spans="3:21" ht="21.9" customHeight="1" x14ac:dyDescent="0.3">
      <c r="C102" s="24">
        <v>442</v>
      </c>
      <c r="D102" s="45">
        <v>44150</v>
      </c>
      <c r="E102" s="24">
        <f t="shared" ref="E102:E165" si="1">MONTH(D102)</f>
        <v>11</v>
      </c>
      <c r="F102" s="46">
        <v>152</v>
      </c>
      <c r="G102" s="24" t="s">
        <v>87</v>
      </c>
      <c r="H102" s="24" t="s">
        <v>197</v>
      </c>
      <c r="I102" s="24" t="s">
        <v>208</v>
      </c>
      <c r="J102" s="24" t="s">
        <v>222</v>
      </c>
      <c r="K102" s="24" t="s">
        <v>226</v>
      </c>
      <c r="L102" s="24" t="s">
        <v>230</v>
      </c>
      <c r="M102" s="24">
        <v>2</v>
      </c>
      <c r="N102" s="24" t="s">
        <v>75</v>
      </c>
      <c r="O102" s="24" t="s">
        <v>26</v>
      </c>
      <c r="P102" s="24" t="s">
        <v>249</v>
      </c>
      <c r="Q102" s="24" t="s">
        <v>289</v>
      </c>
      <c r="R102" s="24" t="s">
        <v>345</v>
      </c>
      <c r="S102" s="24" t="s">
        <v>330</v>
      </c>
      <c r="T102" s="24" t="s">
        <v>44</v>
      </c>
      <c r="U102" s="24" t="s">
        <v>113</v>
      </c>
    </row>
    <row r="103" spans="3:21" ht="21.9" customHeight="1" x14ac:dyDescent="0.3">
      <c r="C103" s="24">
        <v>441</v>
      </c>
      <c r="D103" s="45">
        <v>44149</v>
      </c>
      <c r="E103" s="24">
        <f t="shared" si="1"/>
        <v>11</v>
      </c>
      <c r="F103" s="46">
        <v>1200</v>
      </c>
      <c r="G103" s="24" t="s">
        <v>86</v>
      </c>
      <c r="H103" s="24" t="s">
        <v>198</v>
      </c>
      <c r="I103" s="24" t="s">
        <v>207</v>
      </c>
      <c r="J103" s="24" t="s">
        <v>224</v>
      </c>
      <c r="K103" s="24" t="s">
        <v>228</v>
      </c>
      <c r="L103" s="24" t="s">
        <v>230</v>
      </c>
      <c r="M103" s="24">
        <v>2</v>
      </c>
      <c r="N103" s="24" t="s">
        <v>77</v>
      </c>
      <c r="O103" s="24" t="s">
        <v>273</v>
      </c>
      <c r="P103" s="24" t="s">
        <v>241</v>
      </c>
      <c r="Q103" s="24" t="s">
        <v>287</v>
      </c>
      <c r="R103" s="24" t="s">
        <v>55</v>
      </c>
      <c r="S103" s="24" t="s">
        <v>27</v>
      </c>
      <c r="T103" s="24" t="s">
        <v>47</v>
      </c>
      <c r="U103" s="24" t="s">
        <v>113</v>
      </c>
    </row>
    <row r="104" spans="3:21" ht="21.9" customHeight="1" x14ac:dyDescent="0.3">
      <c r="C104" s="24">
        <v>440</v>
      </c>
      <c r="D104" s="45">
        <v>44148</v>
      </c>
      <c r="E104" s="24">
        <f t="shared" si="1"/>
        <v>11</v>
      </c>
      <c r="F104" s="46">
        <v>510</v>
      </c>
      <c r="G104" s="24" t="s">
        <v>85</v>
      </c>
      <c r="H104" s="24" t="s">
        <v>199</v>
      </c>
      <c r="I104" s="24" t="s">
        <v>209</v>
      </c>
      <c r="J104" s="24" t="s">
        <v>216</v>
      </c>
      <c r="K104" s="24" t="s">
        <v>228</v>
      </c>
      <c r="L104" s="24" t="s">
        <v>221</v>
      </c>
      <c r="M104" s="24">
        <v>3</v>
      </c>
      <c r="N104" s="24" t="s">
        <v>77</v>
      </c>
      <c r="O104" s="24" t="s">
        <v>273</v>
      </c>
      <c r="P104" s="24" t="s">
        <v>241</v>
      </c>
      <c r="Q104" s="24" t="s">
        <v>287</v>
      </c>
      <c r="R104" s="24" t="s">
        <v>437</v>
      </c>
      <c r="S104" s="24" t="s">
        <v>494</v>
      </c>
      <c r="T104" s="24" t="s">
        <v>262</v>
      </c>
      <c r="U104" s="24" t="s">
        <v>113</v>
      </c>
    </row>
    <row r="105" spans="3:21" ht="21.9" customHeight="1" x14ac:dyDescent="0.3">
      <c r="C105" s="24">
        <v>439</v>
      </c>
      <c r="D105" s="45">
        <v>44147</v>
      </c>
      <c r="E105" s="24">
        <f t="shared" si="1"/>
        <v>11</v>
      </c>
      <c r="F105" s="46">
        <v>800</v>
      </c>
      <c r="G105" s="24" t="s">
        <v>84</v>
      </c>
      <c r="H105" s="24" t="s">
        <v>200</v>
      </c>
      <c r="I105" s="24" t="s">
        <v>208</v>
      </c>
      <c r="J105" s="24" t="s">
        <v>222</v>
      </c>
      <c r="K105" s="24" t="s">
        <v>228</v>
      </c>
      <c r="L105" s="24" t="s">
        <v>220</v>
      </c>
      <c r="M105" s="24">
        <v>2</v>
      </c>
      <c r="N105" s="24" t="s">
        <v>75</v>
      </c>
      <c r="O105" s="24" t="s">
        <v>26</v>
      </c>
      <c r="P105" s="24" t="s">
        <v>249</v>
      </c>
      <c r="Q105" s="24" t="s">
        <v>289</v>
      </c>
      <c r="R105" s="24" t="s">
        <v>388</v>
      </c>
      <c r="S105" s="24" t="s">
        <v>485</v>
      </c>
      <c r="T105" s="24" t="s">
        <v>390</v>
      </c>
      <c r="U105" s="24" t="s">
        <v>113</v>
      </c>
    </row>
    <row r="106" spans="3:21" ht="21.9" customHeight="1" x14ac:dyDescent="0.3">
      <c r="C106" s="24">
        <v>438</v>
      </c>
      <c r="D106" s="45">
        <v>44146</v>
      </c>
      <c r="E106" s="24">
        <f t="shared" si="1"/>
        <v>11</v>
      </c>
      <c r="F106" s="46">
        <v>1600</v>
      </c>
      <c r="G106" s="24" t="s">
        <v>83</v>
      </c>
      <c r="H106" s="24" t="s">
        <v>201</v>
      </c>
      <c r="I106" s="24" t="s">
        <v>208</v>
      </c>
      <c r="J106" s="24" t="s">
        <v>222</v>
      </c>
      <c r="K106" s="24" t="s">
        <v>226</v>
      </c>
      <c r="L106" s="24" t="s">
        <v>230</v>
      </c>
      <c r="M106" s="24">
        <v>2</v>
      </c>
      <c r="N106" s="24" t="s">
        <v>72</v>
      </c>
      <c r="O106" s="24" t="s">
        <v>250</v>
      </c>
      <c r="P106" s="24" t="s">
        <v>253</v>
      </c>
      <c r="Q106" s="24" t="s">
        <v>384</v>
      </c>
      <c r="R106" s="24" t="s">
        <v>425</v>
      </c>
      <c r="S106" s="24" t="s">
        <v>492</v>
      </c>
      <c r="T106" s="24" t="s">
        <v>428</v>
      </c>
      <c r="U106" s="24" t="s">
        <v>113</v>
      </c>
    </row>
    <row r="107" spans="3:21" ht="21.9" customHeight="1" x14ac:dyDescent="0.3">
      <c r="C107" s="24">
        <v>437</v>
      </c>
      <c r="D107" s="45">
        <v>44145</v>
      </c>
      <c r="E107" s="24">
        <f t="shared" si="1"/>
        <v>11</v>
      </c>
      <c r="F107" s="46">
        <v>1200</v>
      </c>
      <c r="G107" s="24" t="s">
        <v>82</v>
      </c>
      <c r="H107" s="24" t="s">
        <v>202</v>
      </c>
      <c r="I107" s="24" t="s">
        <v>207</v>
      </c>
      <c r="J107" s="24" t="s">
        <v>222</v>
      </c>
      <c r="K107" s="24" t="s">
        <v>226</v>
      </c>
      <c r="L107" s="24" t="s">
        <v>230</v>
      </c>
      <c r="M107" s="24">
        <v>3</v>
      </c>
      <c r="N107" s="24" t="s">
        <v>51</v>
      </c>
      <c r="O107" s="24" t="s">
        <v>269</v>
      </c>
      <c r="P107" s="24" t="s">
        <v>262</v>
      </c>
      <c r="Q107" s="24" t="s">
        <v>288</v>
      </c>
      <c r="R107" s="24" t="s">
        <v>404</v>
      </c>
      <c r="S107" s="24" t="s">
        <v>488</v>
      </c>
      <c r="T107" s="24" t="s">
        <v>241</v>
      </c>
      <c r="U107" s="24" t="s">
        <v>518</v>
      </c>
    </row>
    <row r="108" spans="3:21" ht="21.9" customHeight="1" x14ac:dyDescent="0.3">
      <c r="C108" s="24">
        <v>436</v>
      </c>
      <c r="D108" s="45">
        <v>44144</v>
      </c>
      <c r="E108" s="24">
        <f t="shared" si="1"/>
        <v>11</v>
      </c>
      <c r="F108" s="46">
        <v>250</v>
      </c>
      <c r="G108" s="24" t="s">
        <v>81</v>
      </c>
      <c r="H108" s="24" t="s">
        <v>203</v>
      </c>
      <c r="I108" s="24" t="s">
        <v>207</v>
      </c>
      <c r="J108" s="24" t="s">
        <v>223</v>
      </c>
      <c r="K108" s="24" t="s">
        <v>226</v>
      </c>
      <c r="L108" s="24" t="s">
        <v>230</v>
      </c>
      <c r="M108" s="24">
        <v>1</v>
      </c>
      <c r="N108" s="24" t="s">
        <v>74</v>
      </c>
      <c r="O108" s="24" t="s">
        <v>270</v>
      </c>
      <c r="P108" s="24" t="s">
        <v>260</v>
      </c>
      <c r="Q108" s="24" t="s">
        <v>288</v>
      </c>
      <c r="R108" s="24" t="s">
        <v>347</v>
      </c>
      <c r="S108" s="24" t="s">
        <v>335</v>
      </c>
      <c r="T108" s="24" t="s">
        <v>49</v>
      </c>
      <c r="U108" s="24" t="s">
        <v>113</v>
      </c>
    </row>
    <row r="109" spans="3:21" ht="21.9" customHeight="1" x14ac:dyDescent="0.3">
      <c r="C109" s="24">
        <v>435</v>
      </c>
      <c r="D109" s="45">
        <v>44143</v>
      </c>
      <c r="E109" s="24">
        <f t="shared" si="1"/>
        <v>11</v>
      </c>
      <c r="F109" s="46">
        <v>120</v>
      </c>
      <c r="G109" s="24" t="s">
        <v>80</v>
      </c>
      <c r="H109" s="24" t="s">
        <v>204</v>
      </c>
      <c r="I109" s="24" t="s">
        <v>207</v>
      </c>
      <c r="J109" s="24" t="s">
        <v>221</v>
      </c>
      <c r="K109" s="24" t="s">
        <v>229</v>
      </c>
      <c r="L109" s="24" t="s">
        <v>221</v>
      </c>
      <c r="M109" s="24">
        <v>3</v>
      </c>
      <c r="N109" s="24" t="s">
        <v>72</v>
      </c>
      <c r="O109" s="24" t="s">
        <v>250</v>
      </c>
      <c r="P109" s="24" t="s">
        <v>253</v>
      </c>
      <c r="Q109" s="24" t="s">
        <v>384</v>
      </c>
      <c r="R109" s="24" t="s">
        <v>56</v>
      </c>
      <c r="S109" s="24" t="s">
        <v>28</v>
      </c>
      <c r="T109" s="24" t="s">
        <v>48</v>
      </c>
      <c r="U109" s="24" t="s">
        <v>115</v>
      </c>
    </row>
    <row r="110" spans="3:21" ht="21.9" customHeight="1" x14ac:dyDescent="0.3">
      <c r="C110" s="24">
        <v>434</v>
      </c>
      <c r="D110" s="45">
        <v>44142</v>
      </c>
      <c r="E110" s="24">
        <f t="shared" si="1"/>
        <v>11</v>
      </c>
      <c r="F110" s="46">
        <v>105</v>
      </c>
      <c r="G110" s="24" t="s">
        <v>79</v>
      </c>
      <c r="H110" s="24" t="s">
        <v>205</v>
      </c>
      <c r="I110" s="24" t="s">
        <v>207</v>
      </c>
      <c r="J110" s="24" t="s">
        <v>221</v>
      </c>
      <c r="K110" s="24" t="s">
        <v>229</v>
      </c>
      <c r="L110" s="24" t="s">
        <v>221</v>
      </c>
      <c r="M110" s="24">
        <v>3</v>
      </c>
      <c r="N110" s="24" t="s">
        <v>73</v>
      </c>
      <c r="O110" s="24" t="s">
        <v>268</v>
      </c>
      <c r="P110" s="24" t="s">
        <v>262</v>
      </c>
      <c r="Q110" s="24" t="s">
        <v>288</v>
      </c>
      <c r="R110" s="24" t="s">
        <v>58</v>
      </c>
      <c r="S110" s="24" t="s">
        <v>30</v>
      </c>
      <c r="T110" s="24" t="s">
        <v>46</v>
      </c>
      <c r="U110" s="24" t="s">
        <v>116</v>
      </c>
    </row>
    <row r="111" spans="3:21" ht="21.9" customHeight="1" x14ac:dyDescent="0.3">
      <c r="C111" s="24">
        <v>433</v>
      </c>
      <c r="D111" s="45">
        <v>44141</v>
      </c>
      <c r="E111" s="24">
        <f t="shared" si="1"/>
        <v>11</v>
      </c>
      <c r="F111" s="46">
        <v>90</v>
      </c>
      <c r="G111" s="24" t="s">
        <v>78</v>
      </c>
      <c r="H111" s="24" t="s">
        <v>206</v>
      </c>
      <c r="I111" s="24" t="s">
        <v>207</v>
      </c>
      <c r="J111" s="24" t="s">
        <v>221</v>
      </c>
      <c r="K111" s="24" t="s">
        <v>229</v>
      </c>
      <c r="L111" s="24" t="s">
        <v>221</v>
      </c>
      <c r="M111" s="24">
        <v>3</v>
      </c>
      <c r="N111" s="24" t="s">
        <v>77</v>
      </c>
      <c r="O111" s="24" t="s">
        <v>273</v>
      </c>
      <c r="P111" s="24" t="s">
        <v>241</v>
      </c>
      <c r="Q111" s="24" t="s">
        <v>287</v>
      </c>
      <c r="R111" s="24" t="s">
        <v>470</v>
      </c>
      <c r="S111" s="24" t="s">
        <v>500</v>
      </c>
      <c r="T111" s="24" t="s">
        <v>473</v>
      </c>
      <c r="U111" s="24" t="s">
        <v>113</v>
      </c>
    </row>
    <row r="112" spans="3:21" ht="21.9" customHeight="1" x14ac:dyDescent="0.3">
      <c r="C112" s="24">
        <v>432</v>
      </c>
      <c r="D112" s="45">
        <v>44140</v>
      </c>
      <c r="E112" s="24">
        <f t="shared" si="1"/>
        <v>11</v>
      </c>
      <c r="F112" s="46">
        <v>3200</v>
      </c>
      <c r="G112" s="24" t="s">
        <v>121</v>
      </c>
      <c r="H112" s="24" t="s">
        <v>183</v>
      </c>
      <c r="I112" s="24" t="s">
        <v>207</v>
      </c>
      <c r="J112" s="24" t="s">
        <v>210</v>
      </c>
      <c r="K112" s="24" t="s">
        <v>184</v>
      </c>
      <c r="L112" s="24" t="s">
        <v>230</v>
      </c>
      <c r="M112" s="24">
        <v>2</v>
      </c>
      <c r="N112" s="24" t="s">
        <v>71</v>
      </c>
      <c r="O112" s="24" t="s">
        <v>271</v>
      </c>
      <c r="P112" s="24" t="s">
        <v>286</v>
      </c>
      <c r="Q112" s="24" t="s">
        <v>288</v>
      </c>
      <c r="R112" s="24" t="s">
        <v>68</v>
      </c>
      <c r="S112" s="24" t="s">
        <v>40</v>
      </c>
      <c r="T112" s="24" t="s">
        <v>46</v>
      </c>
      <c r="U112" s="24" t="s">
        <v>115</v>
      </c>
    </row>
    <row r="113" spans="3:21" ht="21.9" customHeight="1" x14ac:dyDescent="0.3">
      <c r="C113" s="24">
        <v>431</v>
      </c>
      <c r="D113" s="45">
        <v>44139</v>
      </c>
      <c r="E113" s="24">
        <f t="shared" si="1"/>
        <v>11</v>
      </c>
      <c r="F113" s="46">
        <v>5600</v>
      </c>
      <c r="G113" s="24" t="s">
        <v>120</v>
      </c>
      <c r="H113" s="24" t="s">
        <v>185</v>
      </c>
      <c r="I113" s="24" t="s">
        <v>207</v>
      </c>
      <c r="J113" s="24" t="s">
        <v>210</v>
      </c>
      <c r="K113" s="24" t="s">
        <v>184</v>
      </c>
      <c r="L113" s="24" t="s">
        <v>230</v>
      </c>
      <c r="M113" s="24">
        <v>2</v>
      </c>
      <c r="N113" s="24" t="s">
        <v>77</v>
      </c>
      <c r="O113" s="24" t="s">
        <v>273</v>
      </c>
      <c r="P113" s="24" t="s">
        <v>241</v>
      </c>
      <c r="Q113" s="24" t="s">
        <v>287</v>
      </c>
      <c r="R113" s="24" t="s">
        <v>70</v>
      </c>
      <c r="S113" s="24" t="s">
        <v>42</v>
      </c>
      <c r="T113" s="24" t="s">
        <v>47</v>
      </c>
      <c r="U113" s="24" t="s">
        <v>114</v>
      </c>
    </row>
    <row r="114" spans="3:21" ht="21.9" customHeight="1" x14ac:dyDescent="0.3">
      <c r="C114" s="24">
        <v>430</v>
      </c>
      <c r="D114" s="45">
        <v>44138</v>
      </c>
      <c r="E114" s="24">
        <f t="shared" si="1"/>
        <v>11</v>
      </c>
      <c r="F114" s="46">
        <v>160</v>
      </c>
      <c r="G114" s="24" t="s">
        <v>97</v>
      </c>
      <c r="H114" s="24" t="s">
        <v>189</v>
      </c>
      <c r="I114" s="24" t="s">
        <v>207</v>
      </c>
      <c r="J114" s="24" t="s">
        <v>211</v>
      </c>
      <c r="K114" s="24" t="s">
        <v>227</v>
      </c>
      <c r="L114" s="24" t="s">
        <v>186</v>
      </c>
      <c r="M114" s="24">
        <v>2</v>
      </c>
      <c r="N114" s="24" t="s">
        <v>51</v>
      </c>
      <c r="O114" s="24" t="s">
        <v>269</v>
      </c>
      <c r="P114" s="24" t="s">
        <v>262</v>
      </c>
      <c r="Q114" s="24" t="s">
        <v>288</v>
      </c>
      <c r="R114" s="24" t="s">
        <v>65</v>
      </c>
      <c r="S114" s="24" t="s">
        <v>37</v>
      </c>
      <c r="T114" s="24" t="s">
        <v>48</v>
      </c>
      <c r="U114" s="24" t="s">
        <v>113</v>
      </c>
    </row>
    <row r="115" spans="3:21" ht="21.9" customHeight="1" x14ac:dyDescent="0.3">
      <c r="C115" s="24">
        <v>429</v>
      </c>
      <c r="D115" s="45">
        <v>44137</v>
      </c>
      <c r="E115" s="24">
        <f t="shared" si="1"/>
        <v>11</v>
      </c>
      <c r="F115" s="46">
        <v>60</v>
      </c>
      <c r="G115" s="24" t="s">
        <v>96</v>
      </c>
      <c r="H115" s="24" t="s">
        <v>190</v>
      </c>
      <c r="I115" s="24" t="s">
        <v>208</v>
      </c>
      <c r="J115" s="24" t="s">
        <v>212</v>
      </c>
      <c r="K115" s="24" t="s">
        <v>227</v>
      </c>
      <c r="L115" s="24" t="s">
        <v>223</v>
      </c>
      <c r="M115" s="24">
        <v>1</v>
      </c>
      <c r="N115" s="24" t="s">
        <v>72</v>
      </c>
      <c r="O115" s="24" t="s">
        <v>250</v>
      </c>
      <c r="P115" s="24" t="s">
        <v>253</v>
      </c>
      <c r="Q115" s="24" t="s">
        <v>384</v>
      </c>
      <c r="R115" s="24" t="s">
        <v>340</v>
      </c>
      <c r="S115" s="24" t="s">
        <v>317</v>
      </c>
      <c r="T115" s="24" t="s">
        <v>327</v>
      </c>
      <c r="U115" s="24" t="s">
        <v>114</v>
      </c>
    </row>
    <row r="116" spans="3:21" ht="21.9" customHeight="1" x14ac:dyDescent="0.3">
      <c r="C116" s="24">
        <v>428</v>
      </c>
      <c r="D116" s="45">
        <v>44136</v>
      </c>
      <c r="E116" s="24">
        <f t="shared" si="1"/>
        <v>11</v>
      </c>
      <c r="F116" s="46">
        <v>300</v>
      </c>
      <c r="G116" s="24" t="s">
        <v>95</v>
      </c>
      <c r="H116" s="24" t="s">
        <v>191</v>
      </c>
      <c r="I116" s="24" t="s">
        <v>207</v>
      </c>
      <c r="J116" s="24" t="s">
        <v>222</v>
      </c>
      <c r="K116" s="24" t="s">
        <v>226</v>
      </c>
      <c r="L116" s="24" t="s">
        <v>231</v>
      </c>
      <c r="M116" s="24">
        <v>3</v>
      </c>
      <c r="N116" s="24" t="s">
        <v>380</v>
      </c>
      <c r="O116" s="24" t="s">
        <v>381</v>
      </c>
      <c r="P116" s="24" t="s">
        <v>46</v>
      </c>
      <c r="Q116" s="24" t="s">
        <v>384</v>
      </c>
      <c r="R116" s="24" t="s">
        <v>338</v>
      </c>
      <c r="S116" s="24" t="s">
        <v>311</v>
      </c>
      <c r="T116" s="24" t="s">
        <v>47</v>
      </c>
      <c r="U116" s="24" t="s">
        <v>115</v>
      </c>
    </row>
    <row r="117" spans="3:21" ht="21.9" customHeight="1" x14ac:dyDescent="0.3">
      <c r="C117" s="24">
        <v>427</v>
      </c>
      <c r="D117" s="45">
        <v>44152</v>
      </c>
      <c r="E117" s="24">
        <f t="shared" si="1"/>
        <v>11</v>
      </c>
      <c r="F117" s="46">
        <v>300</v>
      </c>
      <c r="G117" s="24" t="s">
        <v>94</v>
      </c>
      <c r="H117" s="24" t="s">
        <v>192</v>
      </c>
      <c r="I117" s="24" t="s">
        <v>207</v>
      </c>
      <c r="J117" s="24" t="s">
        <v>216</v>
      </c>
      <c r="K117" s="24" t="s">
        <v>187</v>
      </c>
      <c r="L117" s="24" t="s">
        <v>232</v>
      </c>
      <c r="M117" s="24">
        <v>1</v>
      </c>
      <c r="N117" s="24" t="s">
        <v>51</v>
      </c>
      <c r="O117" s="24" t="s">
        <v>269</v>
      </c>
      <c r="P117" s="24" t="s">
        <v>262</v>
      </c>
      <c r="Q117" s="24" t="s">
        <v>288</v>
      </c>
      <c r="R117" s="24" t="s">
        <v>341</v>
      </c>
      <c r="S117" s="24" t="s">
        <v>320</v>
      </c>
      <c r="T117" s="24" t="s">
        <v>49</v>
      </c>
      <c r="U117" s="24" t="s">
        <v>113</v>
      </c>
    </row>
    <row r="118" spans="3:21" ht="21.9" customHeight="1" x14ac:dyDescent="0.3">
      <c r="C118" s="24">
        <v>426</v>
      </c>
      <c r="D118" s="45">
        <v>44151</v>
      </c>
      <c r="E118" s="24">
        <f t="shared" si="1"/>
        <v>11</v>
      </c>
      <c r="F118" s="46">
        <v>700</v>
      </c>
      <c r="G118" s="24" t="s">
        <v>93</v>
      </c>
      <c r="H118" s="24" t="s">
        <v>193</v>
      </c>
      <c r="I118" s="24" t="s">
        <v>208</v>
      </c>
      <c r="J118" s="24" t="s">
        <v>218</v>
      </c>
      <c r="K118" s="24" t="s">
        <v>187</v>
      </c>
      <c r="L118" s="24" t="s">
        <v>186</v>
      </c>
      <c r="M118" s="24">
        <v>2</v>
      </c>
      <c r="N118" s="24" t="s">
        <v>73</v>
      </c>
      <c r="O118" s="24" t="s">
        <v>268</v>
      </c>
      <c r="P118" s="24" t="s">
        <v>262</v>
      </c>
      <c r="Q118" s="24" t="s">
        <v>288</v>
      </c>
      <c r="R118" s="24" t="s">
        <v>65</v>
      </c>
      <c r="S118" s="24" t="s">
        <v>37</v>
      </c>
      <c r="T118" s="24" t="s">
        <v>48</v>
      </c>
      <c r="U118" s="24" t="s">
        <v>113</v>
      </c>
    </row>
    <row r="119" spans="3:21" ht="21.9" customHeight="1" x14ac:dyDescent="0.3">
      <c r="C119" s="24">
        <v>425</v>
      </c>
      <c r="D119" s="45">
        <v>44150</v>
      </c>
      <c r="E119" s="24">
        <f t="shared" si="1"/>
        <v>11</v>
      </c>
      <c r="F119" s="46">
        <v>270</v>
      </c>
      <c r="G119" s="24" t="s">
        <v>92</v>
      </c>
      <c r="H119" s="24" t="s">
        <v>225</v>
      </c>
      <c r="I119" s="24" t="s">
        <v>207</v>
      </c>
      <c r="J119" s="24" t="s">
        <v>219</v>
      </c>
      <c r="K119" s="24" t="s">
        <v>226</v>
      </c>
      <c r="L119" s="24" t="s">
        <v>186</v>
      </c>
      <c r="M119" s="24">
        <v>1</v>
      </c>
      <c r="N119" s="24" t="s">
        <v>76</v>
      </c>
      <c r="O119" s="24" t="s">
        <v>272</v>
      </c>
      <c r="P119" s="24" t="s">
        <v>245</v>
      </c>
      <c r="Q119" s="24" t="s">
        <v>288</v>
      </c>
      <c r="R119" s="24" t="s">
        <v>470</v>
      </c>
      <c r="S119" s="24" t="s">
        <v>500</v>
      </c>
      <c r="T119" s="24" t="s">
        <v>473</v>
      </c>
      <c r="U119" s="24" t="s">
        <v>113</v>
      </c>
    </row>
    <row r="120" spans="3:21" ht="21.9" customHeight="1" x14ac:dyDescent="0.3">
      <c r="C120" s="24">
        <v>424</v>
      </c>
      <c r="D120" s="45">
        <v>44149</v>
      </c>
      <c r="E120" s="24">
        <f t="shared" si="1"/>
        <v>11</v>
      </c>
      <c r="F120" s="46">
        <v>1000</v>
      </c>
      <c r="G120" s="24" t="s">
        <v>91</v>
      </c>
      <c r="H120" s="24" t="s">
        <v>194</v>
      </c>
      <c r="I120" s="24" t="s">
        <v>209</v>
      </c>
      <c r="J120" s="24" t="s">
        <v>219</v>
      </c>
      <c r="K120" s="24" t="s">
        <v>187</v>
      </c>
      <c r="L120" s="24" t="s">
        <v>186</v>
      </c>
      <c r="M120" s="24">
        <v>2</v>
      </c>
      <c r="N120" s="24" t="s">
        <v>77</v>
      </c>
      <c r="O120" s="24" t="s">
        <v>273</v>
      </c>
      <c r="P120" s="24" t="s">
        <v>241</v>
      </c>
      <c r="Q120" s="24" t="s">
        <v>287</v>
      </c>
      <c r="R120" s="24" t="s">
        <v>65</v>
      </c>
      <c r="S120" s="24" t="s">
        <v>37</v>
      </c>
      <c r="T120" s="24" t="s">
        <v>48</v>
      </c>
      <c r="U120" s="24" t="s">
        <v>113</v>
      </c>
    </row>
    <row r="121" spans="3:21" ht="21.9" customHeight="1" x14ac:dyDescent="0.3">
      <c r="C121" s="24">
        <v>423</v>
      </c>
      <c r="D121" s="45">
        <v>44148</v>
      </c>
      <c r="E121" s="24">
        <f t="shared" si="1"/>
        <v>11</v>
      </c>
      <c r="F121" s="46">
        <v>900</v>
      </c>
      <c r="G121" s="24" t="s">
        <v>90</v>
      </c>
      <c r="H121" s="24" t="s">
        <v>188</v>
      </c>
      <c r="I121" s="24" t="s">
        <v>209</v>
      </c>
      <c r="J121" s="24" t="s">
        <v>220</v>
      </c>
      <c r="K121" s="24" t="s">
        <v>187</v>
      </c>
      <c r="L121" s="24" t="s">
        <v>220</v>
      </c>
      <c r="M121" s="24">
        <v>1</v>
      </c>
      <c r="N121" s="24" t="s">
        <v>73</v>
      </c>
      <c r="O121" s="24" t="s">
        <v>268</v>
      </c>
      <c r="P121" s="24" t="s">
        <v>262</v>
      </c>
      <c r="Q121" s="24" t="s">
        <v>288</v>
      </c>
      <c r="R121" s="24" t="s">
        <v>57</v>
      </c>
      <c r="S121" s="24" t="s">
        <v>29</v>
      </c>
      <c r="T121" s="24" t="s">
        <v>49</v>
      </c>
      <c r="U121" s="24" t="s">
        <v>113</v>
      </c>
    </row>
    <row r="122" spans="3:21" ht="21.9" customHeight="1" x14ac:dyDescent="0.3">
      <c r="C122" s="24">
        <v>422</v>
      </c>
      <c r="D122" s="45">
        <v>44147</v>
      </c>
      <c r="E122" s="24">
        <f t="shared" si="1"/>
        <v>11</v>
      </c>
      <c r="F122" s="46">
        <v>120</v>
      </c>
      <c r="G122" s="24" t="s">
        <v>89</v>
      </c>
      <c r="H122" s="24" t="s">
        <v>195</v>
      </c>
      <c r="I122" s="24" t="s">
        <v>207</v>
      </c>
      <c r="J122" s="24" t="s">
        <v>223</v>
      </c>
      <c r="K122" s="24" t="s">
        <v>226</v>
      </c>
      <c r="L122" s="24" t="s">
        <v>220</v>
      </c>
      <c r="M122" s="24">
        <v>2</v>
      </c>
      <c r="N122" s="24" t="s">
        <v>380</v>
      </c>
      <c r="O122" s="24" t="s">
        <v>381</v>
      </c>
      <c r="P122" s="24" t="s">
        <v>46</v>
      </c>
      <c r="Q122" s="24" t="s">
        <v>384</v>
      </c>
      <c r="R122" s="24" t="s">
        <v>55</v>
      </c>
      <c r="S122" s="24" t="s">
        <v>27</v>
      </c>
      <c r="T122" s="24" t="s">
        <v>47</v>
      </c>
      <c r="U122" s="24" t="s">
        <v>113</v>
      </c>
    </row>
    <row r="123" spans="3:21" ht="21.9" customHeight="1" x14ac:dyDescent="0.3">
      <c r="C123" s="24">
        <v>421</v>
      </c>
      <c r="D123" s="45">
        <v>44146</v>
      </c>
      <c r="E123" s="24">
        <f t="shared" si="1"/>
        <v>11</v>
      </c>
      <c r="F123" s="46">
        <v>140</v>
      </c>
      <c r="G123" s="24" t="s">
        <v>88</v>
      </c>
      <c r="H123" s="24" t="s">
        <v>196</v>
      </c>
      <c r="I123" s="24" t="s">
        <v>208</v>
      </c>
      <c r="J123" s="24" t="s">
        <v>216</v>
      </c>
      <c r="K123" s="24" t="s">
        <v>226</v>
      </c>
      <c r="L123" s="24" t="s">
        <v>230</v>
      </c>
      <c r="M123" s="24">
        <v>2</v>
      </c>
      <c r="N123" s="24" t="s">
        <v>72</v>
      </c>
      <c r="O123" s="24" t="s">
        <v>250</v>
      </c>
      <c r="P123" s="24" t="s">
        <v>253</v>
      </c>
      <c r="Q123" s="24" t="s">
        <v>384</v>
      </c>
      <c r="R123" s="24" t="s">
        <v>50</v>
      </c>
      <c r="S123" s="24" t="s">
        <v>291</v>
      </c>
      <c r="T123" s="24" t="s">
        <v>46</v>
      </c>
      <c r="U123" s="24" t="s">
        <v>294</v>
      </c>
    </row>
    <row r="124" spans="3:21" ht="21.9" customHeight="1" x14ac:dyDescent="0.3">
      <c r="C124" s="24">
        <v>420</v>
      </c>
      <c r="D124" s="45">
        <v>44145</v>
      </c>
      <c r="E124" s="24">
        <f t="shared" si="1"/>
        <v>11</v>
      </c>
      <c r="F124" s="46">
        <v>76</v>
      </c>
      <c r="G124" s="24" t="s">
        <v>87</v>
      </c>
      <c r="H124" s="24" t="s">
        <v>197</v>
      </c>
      <c r="I124" s="24" t="s">
        <v>208</v>
      </c>
      <c r="J124" s="24" t="s">
        <v>222</v>
      </c>
      <c r="K124" s="24" t="s">
        <v>226</v>
      </c>
      <c r="L124" s="24" t="s">
        <v>230</v>
      </c>
      <c r="M124" s="24">
        <v>1</v>
      </c>
      <c r="N124" s="24" t="s">
        <v>74</v>
      </c>
      <c r="O124" s="24" t="s">
        <v>270</v>
      </c>
      <c r="P124" s="24" t="s">
        <v>260</v>
      </c>
      <c r="Q124" s="24" t="s">
        <v>288</v>
      </c>
      <c r="R124" s="24" t="s">
        <v>393</v>
      </c>
      <c r="S124" s="24" t="s">
        <v>486</v>
      </c>
      <c r="T124" s="24" t="s">
        <v>395</v>
      </c>
      <c r="U124" s="24" t="s">
        <v>113</v>
      </c>
    </row>
    <row r="125" spans="3:21" ht="21.9" customHeight="1" x14ac:dyDescent="0.3">
      <c r="C125" s="24">
        <v>419</v>
      </c>
      <c r="D125" s="45">
        <v>44144</v>
      </c>
      <c r="E125" s="24">
        <f t="shared" si="1"/>
        <v>11</v>
      </c>
      <c r="F125" s="46">
        <v>1200</v>
      </c>
      <c r="G125" s="24" t="s">
        <v>86</v>
      </c>
      <c r="H125" s="24" t="s">
        <v>198</v>
      </c>
      <c r="I125" s="24" t="s">
        <v>207</v>
      </c>
      <c r="J125" s="24" t="s">
        <v>224</v>
      </c>
      <c r="K125" s="24" t="s">
        <v>228</v>
      </c>
      <c r="L125" s="24" t="s">
        <v>230</v>
      </c>
      <c r="M125" s="24">
        <v>2</v>
      </c>
      <c r="N125" s="24" t="s">
        <v>74</v>
      </c>
      <c r="O125" s="24" t="s">
        <v>270</v>
      </c>
      <c r="P125" s="24" t="s">
        <v>260</v>
      </c>
      <c r="Q125" s="24" t="s">
        <v>288</v>
      </c>
      <c r="R125" s="24" t="s">
        <v>52</v>
      </c>
      <c r="S125" s="24" t="s">
        <v>24</v>
      </c>
      <c r="T125" s="24" t="s">
        <v>44</v>
      </c>
      <c r="U125" s="24" t="s">
        <v>113</v>
      </c>
    </row>
    <row r="126" spans="3:21" ht="21.9" customHeight="1" x14ac:dyDescent="0.3">
      <c r="C126" s="24">
        <v>418</v>
      </c>
      <c r="D126" s="45">
        <v>44143</v>
      </c>
      <c r="E126" s="24">
        <f t="shared" si="1"/>
        <v>11</v>
      </c>
      <c r="F126" s="46">
        <v>340</v>
      </c>
      <c r="G126" s="24" t="s">
        <v>85</v>
      </c>
      <c r="H126" s="24" t="s">
        <v>199</v>
      </c>
      <c r="I126" s="24" t="s">
        <v>209</v>
      </c>
      <c r="J126" s="24" t="s">
        <v>216</v>
      </c>
      <c r="K126" s="24" t="s">
        <v>228</v>
      </c>
      <c r="L126" s="24" t="s">
        <v>221</v>
      </c>
      <c r="M126" s="24">
        <v>2</v>
      </c>
      <c r="N126" s="24" t="s">
        <v>74</v>
      </c>
      <c r="O126" s="24" t="s">
        <v>270</v>
      </c>
      <c r="P126" s="24" t="s">
        <v>260</v>
      </c>
      <c r="Q126" s="24" t="s">
        <v>288</v>
      </c>
      <c r="R126" s="24" t="s">
        <v>344</v>
      </c>
      <c r="S126" s="24" t="s">
        <v>328</v>
      </c>
      <c r="T126" s="24" t="s">
        <v>46</v>
      </c>
      <c r="U126" s="24" t="s">
        <v>115</v>
      </c>
    </row>
    <row r="127" spans="3:21" ht="21.9" customHeight="1" x14ac:dyDescent="0.3">
      <c r="C127" s="24">
        <v>417</v>
      </c>
      <c r="D127" s="45">
        <v>44142</v>
      </c>
      <c r="E127" s="24">
        <f t="shared" si="1"/>
        <v>11</v>
      </c>
      <c r="F127" s="46">
        <v>400</v>
      </c>
      <c r="G127" s="24" t="s">
        <v>84</v>
      </c>
      <c r="H127" s="24" t="s">
        <v>200</v>
      </c>
      <c r="I127" s="24" t="s">
        <v>208</v>
      </c>
      <c r="J127" s="24" t="s">
        <v>222</v>
      </c>
      <c r="K127" s="24" t="s">
        <v>228</v>
      </c>
      <c r="L127" s="24" t="s">
        <v>220</v>
      </c>
      <c r="M127" s="24">
        <v>1</v>
      </c>
      <c r="N127" s="24" t="s">
        <v>77</v>
      </c>
      <c r="O127" s="24" t="s">
        <v>273</v>
      </c>
      <c r="P127" s="24" t="s">
        <v>241</v>
      </c>
      <c r="Q127" s="24" t="s">
        <v>287</v>
      </c>
      <c r="R127" s="24" t="s">
        <v>414</v>
      </c>
      <c r="S127" s="24" t="s">
        <v>490</v>
      </c>
      <c r="T127" s="24" t="s">
        <v>46</v>
      </c>
      <c r="U127" s="24" t="s">
        <v>113</v>
      </c>
    </row>
    <row r="128" spans="3:21" ht="21.9" customHeight="1" x14ac:dyDescent="0.3">
      <c r="C128" s="24">
        <v>416</v>
      </c>
      <c r="D128" s="45">
        <v>44141</v>
      </c>
      <c r="E128" s="24">
        <f t="shared" si="1"/>
        <v>11</v>
      </c>
      <c r="F128" s="46">
        <v>1600</v>
      </c>
      <c r="G128" s="24" t="s">
        <v>83</v>
      </c>
      <c r="H128" s="24" t="s">
        <v>201</v>
      </c>
      <c r="I128" s="24" t="s">
        <v>208</v>
      </c>
      <c r="J128" s="24" t="s">
        <v>222</v>
      </c>
      <c r="K128" s="24" t="s">
        <v>226</v>
      </c>
      <c r="L128" s="24" t="s">
        <v>230</v>
      </c>
      <c r="M128" s="24">
        <v>2</v>
      </c>
      <c r="N128" s="24" t="s">
        <v>72</v>
      </c>
      <c r="O128" s="24" t="s">
        <v>250</v>
      </c>
      <c r="P128" s="24" t="s">
        <v>253</v>
      </c>
      <c r="Q128" s="24" t="s">
        <v>384</v>
      </c>
      <c r="R128" s="24" t="s">
        <v>431</v>
      </c>
      <c r="S128" s="24" t="s">
        <v>493</v>
      </c>
      <c r="T128" s="24" t="s">
        <v>434</v>
      </c>
      <c r="U128" s="24" t="s">
        <v>113</v>
      </c>
    </row>
    <row r="129" spans="3:21" ht="21.9" customHeight="1" x14ac:dyDescent="0.3">
      <c r="C129" s="24">
        <v>415</v>
      </c>
      <c r="D129" s="45">
        <v>44140</v>
      </c>
      <c r="E129" s="24">
        <f t="shared" si="1"/>
        <v>11</v>
      </c>
      <c r="F129" s="46">
        <v>1200</v>
      </c>
      <c r="G129" s="24" t="s">
        <v>82</v>
      </c>
      <c r="H129" s="24" t="s">
        <v>202</v>
      </c>
      <c r="I129" s="24" t="s">
        <v>207</v>
      </c>
      <c r="J129" s="24" t="s">
        <v>222</v>
      </c>
      <c r="K129" s="24" t="s">
        <v>226</v>
      </c>
      <c r="L129" s="24" t="s">
        <v>230</v>
      </c>
      <c r="M129" s="24">
        <v>3</v>
      </c>
      <c r="N129" s="24" t="s">
        <v>51</v>
      </c>
      <c r="O129" s="24" t="s">
        <v>269</v>
      </c>
      <c r="P129" s="24" t="s">
        <v>262</v>
      </c>
      <c r="Q129" s="24" t="s">
        <v>288</v>
      </c>
      <c r="R129" s="24" t="s">
        <v>345</v>
      </c>
      <c r="S129" s="24" t="s">
        <v>330</v>
      </c>
      <c r="T129" s="24" t="s">
        <v>44</v>
      </c>
      <c r="U129" s="24" t="s">
        <v>113</v>
      </c>
    </row>
    <row r="130" spans="3:21" ht="21.9" customHeight="1" x14ac:dyDescent="0.3">
      <c r="C130" s="24">
        <v>414</v>
      </c>
      <c r="D130" s="45">
        <v>44139</v>
      </c>
      <c r="E130" s="24">
        <f t="shared" si="1"/>
        <v>11</v>
      </c>
      <c r="F130" s="46">
        <v>500</v>
      </c>
      <c r="G130" s="24" t="s">
        <v>81</v>
      </c>
      <c r="H130" s="24" t="s">
        <v>203</v>
      </c>
      <c r="I130" s="24" t="s">
        <v>207</v>
      </c>
      <c r="J130" s="24" t="s">
        <v>223</v>
      </c>
      <c r="K130" s="24" t="s">
        <v>226</v>
      </c>
      <c r="L130" s="24" t="s">
        <v>230</v>
      </c>
      <c r="M130" s="24">
        <v>2</v>
      </c>
      <c r="N130" s="24" t="s">
        <v>76</v>
      </c>
      <c r="O130" s="24" t="s">
        <v>272</v>
      </c>
      <c r="P130" s="24" t="s">
        <v>245</v>
      </c>
      <c r="Q130" s="24" t="s">
        <v>288</v>
      </c>
      <c r="R130" s="24" t="s">
        <v>59</v>
      </c>
      <c r="S130" s="24" t="s">
        <v>31</v>
      </c>
      <c r="T130" s="24" t="s">
        <v>327</v>
      </c>
      <c r="U130" s="24" t="s">
        <v>114</v>
      </c>
    </row>
    <row r="131" spans="3:21" ht="21.9" customHeight="1" x14ac:dyDescent="0.3">
      <c r="C131" s="24">
        <v>413</v>
      </c>
      <c r="D131" s="45">
        <v>44138</v>
      </c>
      <c r="E131" s="24">
        <f t="shared" si="1"/>
        <v>11</v>
      </c>
      <c r="F131" s="46">
        <v>80</v>
      </c>
      <c r="G131" s="24" t="s">
        <v>80</v>
      </c>
      <c r="H131" s="24" t="s">
        <v>204</v>
      </c>
      <c r="I131" s="24" t="s">
        <v>207</v>
      </c>
      <c r="J131" s="24" t="s">
        <v>221</v>
      </c>
      <c r="K131" s="24" t="s">
        <v>229</v>
      </c>
      <c r="L131" s="24" t="s">
        <v>221</v>
      </c>
      <c r="M131" s="24">
        <v>2</v>
      </c>
      <c r="N131" s="24" t="s">
        <v>74</v>
      </c>
      <c r="O131" s="24" t="s">
        <v>270</v>
      </c>
      <c r="P131" s="24" t="s">
        <v>260</v>
      </c>
      <c r="Q131" s="24" t="s">
        <v>288</v>
      </c>
      <c r="R131" s="24" t="s">
        <v>341</v>
      </c>
      <c r="S131" s="24" t="s">
        <v>320</v>
      </c>
      <c r="T131" s="24" t="s">
        <v>49</v>
      </c>
      <c r="U131" s="24" t="s">
        <v>113</v>
      </c>
    </row>
    <row r="132" spans="3:21" ht="21.9" customHeight="1" x14ac:dyDescent="0.3">
      <c r="C132" s="24">
        <v>412</v>
      </c>
      <c r="D132" s="45">
        <v>44137</v>
      </c>
      <c r="E132" s="24">
        <f t="shared" si="1"/>
        <v>11</v>
      </c>
      <c r="F132" s="46">
        <v>35</v>
      </c>
      <c r="G132" s="24" t="s">
        <v>79</v>
      </c>
      <c r="H132" s="24" t="s">
        <v>205</v>
      </c>
      <c r="I132" s="24" t="s">
        <v>207</v>
      </c>
      <c r="J132" s="24" t="s">
        <v>221</v>
      </c>
      <c r="K132" s="24" t="s">
        <v>229</v>
      </c>
      <c r="L132" s="24" t="s">
        <v>221</v>
      </c>
      <c r="M132" s="24">
        <v>1</v>
      </c>
      <c r="N132" s="24" t="s">
        <v>71</v>
      </c>
      <c r="O132" s="24" t="s">
        <v>271</v>
      </c>
      <c r="P132" s="24" t="s">
        <v>286</v>
      </c>
      <c r="Q132" s="24" t="s">
        <v>288</v>
      </c>
      <c r="R132" s="24" t="s">
        <v>425</v>
      </c>
      <c r="S132" s="24" t="s">
        <v>492</v>
      </c>
      <c r="T132" s="24" t="s">
        <v>428</v>
      </c>
      <c r="U132" s="24" t="s">
        <v>113</v>
      </c>
    </row>
    <row r="133" spans="3:21" ht="21.9" customHeight="1" x14ac:dyDescent="0.3">
      <c r="C133" s="24">
        <v>411</v>
      </c>
      <c r="D133" s="45">
        <v>44136</v>
      </c>
      <c r="E133" s="24">
        <f t="shared" si="1"/>
        <v>11</v>
      </c>
      <c r="F133" s="46">
        <v>30</v>
      </c>
      <c r="G133" s="24" t="s">
        <v>78</v>
      </c>
      <c r="H133" s="24" t="s">
        <v>206</v>
      </c>
      <c r="I133" s="24" t="s">
        <v>207</v>
      </c>
      <c r="J133" s="24" t="s">
        <v>221</v>
      </c>
      <c r="K133" s="24" t="s">
        <v>229</v>
      </c>
      <c r="L133" s="24" t="s">
        <v>221</v>
      </c>
      <c r="M133" s="24">
        <v>1</v>
      </c>
      <c r="N133" s="24" t="s">
        <v>380</v>
      </c>
      <c r="O133" s="24" t="s">
        <v>381</v>
      </c>
      <c r="P133" s="24" t="s">
        <v>46</v>
      </c>
      <c r="Q133" s="24" t="s">
        <v>384</v>
      </c>
      <c r="R133" s="24" t="s">
        <v>64</v>
      </c>
      <c r="S133" s="24" t="s">
        <v>36</v>
      </c>
      <c r="T133" s="24" t="s">
        <v>327</v>
      </c>
      <c r="U133" s="24" t="s">
        <v>114</v>
      </c>
    </row>
    <row r="134" spans="3:21" ht="21.9" customHeight="1" x14ac:dyDescent="0.3">
      <c r="C134" s="24">
        <v>410</v>
      </c>
      <c r="D134" s="45">
        <v>44125</v>
      </c>
      <c r="E134" s="24">
        <f t="shared" si="1"/>
        <v>10</v>
      </c>
      <c r="F134" s="46">
        <v>100</v>
      </c>
      <c r="G134" s="24" t="s">
        <v>95</v>
      </c>
      <c r="H134" s="24" t="s">
        <v>191</v>
      </c>
      <c r="I134" s="24" t="s">
        <v>207</v>
      </c>
      <c r="J134" s="24" t="s">
        <v>222</v>
      </c>
      <c r="K134" s="24" t="s">
        <v>226</v>
      </c>
      <c r="L134" s="24" t="s">
        <v>231</v>
      </c>
      <c r="M134" s="24">
        <v>1</v>
      </c>
      <c r="N134" s="24" t="s">
        <v>74</v>
      </c>
      <c r="O134" s="24" t="s">
        <v>270</v>
      </c>
      <c r="P134" s="24" t="s">
        <v>260</v>
      </c>
      <c r="Q134" s="24" t="s">
        <v>288</v>
      </c>
      <c r="R134" s="24" t="s">
        <v>481</v>
      </c>
      <c r="S134" s="24" t="s">
        <v>501</v>
      </c>
      <c r="T134" s="24" t="s">
        <v>49</v>
      </c>
      <c r="U134" s="24" t="s">
        <v>115</v>
      </c>
    </row>
    <row r="135" spans="3:21" ht="21.9" customHeight="1" x14ac:dyDescent="0.3">
      <c r="C135" s="24">
        <v>409</v>
      </c>
      <c r="D135" s="45">
        <v>44124</v>
      </c>
      <c r="E135" s="24">
        <f t="shared" si="1"/>
        <v>10</v>
      </c>
      <c r="F135" s="46">
        <v>900</v>
      </c>
      <c r="G135" s="24" t="s">
        <v>94</v>
      </c>
      <c r="H135" s="24" t="s">
        <v>192</v>
      </c>
      <c r="I135" s="24" t="s">
        <v>207</v>
      </c>
      <c r="J135" s="24" t="s">
        <v>216</v>
      </c>
      <c r="K135" s="24" t="s">
        <v>187</v>
      </c>
      <c r="L135" s="24" t="s">
        <v>232</v>
      </c>
      <c r="M135" s="24">
        <v>3</v>
      </c>
      <c r="N135" s="24" t="s">
        <v>380</v>
      </c>
      <c r="O135" s="24" t="s">
        <v>381</v>
      </c>
      <c r="P135" s="24" t="s">
        <v>46</v>
      </c>
      <c r="Q135" s="24" t="s">
        <v>384</v>
      </c>
      <c r="R135" s="24" t="s">
        <v>55</v>
      </c>
      <c r="S135" s="24" t="s">
        <v>27</v>
      </c>
      <c r="T135" s="24" t="s">
        <v>47</v>
      </c>
      <c r="U135" s="24" t="s">
        <v>113</v>
      </c>
    </row>
    <row r="136" spans="3:21" ht="21.9" customHeight="1" x14ac:dyDescent="0.3">
      <c r="C136" s="24">
        <v>408</v>
      </c>
      <c r="D136" s="45">
        <v>44123</v>
      </c>
      <c r="E136" s="24">
        <f t="shared" si="1"/>
        <v>10</v>
      </c>
      <c r="F136" s="46">
        <v>350</v>
      </c>
      <c r="G136" s="24" t="s">
        <v>93</v>
      </c>
      <c r="H136" s="24" t="s">
        <v>193</v>
      </c>
      <c r="I136" s="24" t="s">
        <v>208</v>
      </c>
      <c r="J136" s="24" t="s">
        <v>218</v>
      </c>
      <c r="K136" s="24" t="s">
        <v>187</v>
      </c>
      <c r="L136" s="24" t="s">
        <v>186</v>
      </c>
      <c r="M136" s="24">
        <v>1</v>
      </c>
      <c r="N136" s="24" t="s">
        <v>73</v>
      </c>
      <c r="O136" s="24" t="s">
        <v>268</v>
      </c>
      <c r="P136" s="24" t="s">
        <v>262</v>
      </c>
      <c r="Q136" s="24" t="s">
        <v>288</v>
      </c>
      <c r="R136" s="24" t="s">
        <v>54</v>
      </c>
      <c r="S136" s="24" t="s">
        <v>26</v>
      </c>
      <c r="T136" s="24" t="s">
        <v>46</v>
      </c>
      <c r="U136" s="24" t="s">
        <v>114</v>
      </c>
    </row>
    <row r="137" spans="3:21" ht="21.9" customHeight="1" x14ac:dyDescent="0.3">
      <c r="C137" s="24">
        <v>407</v>
      </c>
      <c r="D137" s="45">
        <v>44122</v>
      </c>
      <c r="E137" s="24">
        <f t="shared" si="1"/>
        <v>10</v>
      </c>
      <c r="F137" s="46">
        <v>270</v>
      </c>
      <c r="G137" s="24" t="s">
        <v>92</v>
      </c>
      <c r="H137" s="24" t="s">
        <v>225</v>
      </c>
      <c r="I137" s="24" t="s">
        <v>207</v>
      </c>
      <c r="J137" s="24" t="s">
        <v>219</v>
      </c>
      <c r="K137" s="24" t="s">
        <v>226</v>
      </c>
      <c r="L137" s="24" t="s">
        <v>186</v>
      </c>
      <c r="M137" s="24">
        <v>1</v>
      </c>
      <c r="N137" s="24" t="s">
        <v>75</v>
      </c>
      <c r="O137" s="24" t="s">
        <v>26</v>
      </c>
      <c r="P137" s="24" t="s">
        <v>249</v>
      </c>
      <c r="Q137" s="24" t="s">
        <v>289</v>
      </c>
      <c r="R137" s="24" t="s">
        <v>343</v>
      </c>
      <c r="S137" s="24" t="s">
        <v>325</v>
      </c>
      <c r="T137" s="24" t="s">
        <v>45</v>
      </c>
      <c r="U137" s="24" t="s">
        <v>116</v>
      </c>
    </row>
    <row r="138" spans="3:21" ht="21.9" customHeight="1" x14ac:dyDescent="0.3">
      <c r="C138" s="24">
        <v>406</v>
      </c>
      <c r="D138" s="45">
        <v>44121</v>
      </c>
      <c r="E138" s="24">
        <f t="shared" si="1"/>
        <v>10</v>
      </c>
      <c r="F138" s="46">
        <v>1000</v>
      </c>
      <c r="G138" s="24" t="s">
        <v>91</v>
      </c>
      <c r="H138" s="24" t="s">
        <v>194</v>
      </c>
      <c r="I138" s="24" t="s">
        <v>209</v>
      </c>
      <c r="J138" s="24" t="s">
        <v>219</v>
      </c>
      <c r="K138" s="24" t="s">
        <v>187</v>
      </c>
      <c r="L138" s="24" t="s">
        <v>186</v>
      </c>
      <c r="M138" s="24">
        <v>2</v>
      </c>
      <c r="N138" s="24" t="s">
        <v>51</v>
      </c>
      <c r="O138" s="24" t="s">
        <v>269</v>
      </c>
      <c r="P138" s="24" t="s">
        <v>262</v>
      </c>
      <c r="Q138" s="24" t="s">
        <v>288</v>
      </c>
      <c r="R138" s="24" t="s">
        <v>342</v>
      </c>
      <c r="S138" s="24" t="s">
        <v>323</v>
      </c>
      <c r="T138" s="24" t="s">
        <v>46</v>
      </c>
      <c r="U138" s="24" t="s">
        <v>115</v>
      </c>
    </row>
    <row r="139" spans="3:21" ht="21.9" customHeight="1" x14ac:dyDescent="0.3">
      <c r="C139" s="24">
        <v>405</v>
      </c>
      <c r="D139" s="45">
        <v>44120</v>
      </c>
      <c r="E139" s="24">
        <f t="shared" si="1"/>
        <v>10</v>
      </c>
      <c r="F139" s="46">
        <v>1800</v>
      </c>
      <c r="G139" s="24" t="s">
        <v>90</v>
      </c>
      <c r="H139" s="24" t="s">
        <v>188</v>
      </c>
      <c r="I139" s="24" t="s">
        <v>209</v>
      </c>
      <c r="J139" s="24" t="s">
        <v>220</v>
      </c>
      <c r="K139" s="24" t="s">
        <v>187</v>
      </c>
      <c r="L139" s="24" t="s">
        <v>220</v>
      </c>
      <c r="M139" s="24">
        <v>2</v>
      </c>
      <c r="N139" s="24" t="s">
        <v>51</v>
      </c>
      <c r="O139" s="24" t="s">
        <v>269</v>
      </c>
      <c r="P139" s="24" t="s">
        <v>262</v>
      </c>
      <c r="Q139" s="24" t="s">
        <v>288</v>
      </c>
      <c r="R139" s="24" t="s">
        <v>393</v>
      </c>
      <c r="S139" s="24" t="s">
        <v>486</v>
      </c>
      <c r="T139" s="24" t="s">
        <v>395</v>
      </c>
      <c r="U139" s="24" t="s">
        <v>113</v>
      </c>
    </row>
    <row r="140" spans="3:21" ht="21.9" customHeight="1" x14ac:dyDescent="0.3">
      <c r="C140" s="24">
        <v>404</v>
      </c>
      <c r="D140" s="45">
        <v>44119</v>
      </c>
      <c r="E140" s="24">
        <f t="shared" si="1"/>
        <v>10</v>
      </c>
      <c r="F140" s="46">
        <v>60</v>
      </c>
      <c r="G140" s="24" t="s">
        <v>89</v>
      </c>
      <c r="H140" s="24" t="s">
        <v>195</v>
      </c>
      <c r="I140" s="24" t="s">
        <v>207</v>
      </c>
      <c r="J140" s="24" t="s">
        <v>223</v>
      </c>
      <c r="K140" s="24" t="s">
        <v>226</v>
      </c>
      <c r="L140" s="24" t="s">
        <v>220</v>
      </c>
      <c r="M140" s="24">
        <v>1</v>
      </c>
      <c r="N140" s="24" t="s">
        <v>380</v>
      </c>
      <c r="O140" s="24" t="s">
        <v>381</v>
      </c>
      <c r="P140" s="24" t="s">
        <v>46</v>
      </c>
      <c r="Q140" s="24" t="s">
        <v>384</v>
      </c>
      <c r="R140" s="24" t="s">
        <v>409</v>
      </c>
      <c r="S140" s="24" t="s">
        <v>489</v>
      </c>
      <c r="T140" s="24" t="s">
        <v>245</v>
      </c>
      <c r="U140" s="24" t="s">
        <v>113</v>
      </c>
    </row>
    <row r="141" spans="3:21" ht="21.9" customHeight="1" x14ac:dyDescent="0.3">
      <c r="C141" s="24">
        <v>403</v>
      </c>
      <c r="D141" s="45">
        <v>44118</v>
      </c>
      <c r="E141" s="24">
        <f t="shared" si="1"/>
        <v>10</v>
      </c>
      <c r="F141" s="46">
        <v>210</v>
      </c>
      <c r="G141" s="24" t="s">
        <v>88</v>
      </c>
      <c r="H141" s="24" t="s">
        <v>196</v>
      </c>
      <c r="I141" s="24" t="s">
        <v>208</v>
      </c>
      <c r="J141" s="24" t="s">
        <v>216</v>
      </c>
      <c r="K141" s="24" t="s">
        <v>226</v>
      </c>
      <c r="L141" s="24" t="s">
        <v>230</v>
      </c>
      <c r="M141" s="24">
        <v>3</v>
      </c>
      <c r="N141" s="24" t="s">
        <v>77</v>
      </c>
      <c r="O141" s="24" t="s">
        <v>273</v>
      </c>
      <c r="P141" s="24" t="s">
        <v>241</v>
      </c>
      <c r="Q141" s="24" t="s">
        <v>287</v>
      </c>
      <c r="R141" s="24" t="s">
        <v>66</v>
      </c>
      <c r="S141" s="24" t="s">
        <v>38</v>
      </c>
      <c r="T141" s="24" t="s">
        <v>46</v>
      </c>
      <c r="U141" s="24" t="s">
        <v>115</v>
      </c>
    </row>
    <row r="142" spans="3:21" ht="21.9" customHeight="1" x14ac:dyDescent="0.3">
      <c r="C142" s="24">
        <v>402</v>
      </c>
      <c r="D142" s="45">
        <v>44117</v>
      </c>
      <c r="E142" s="24">
        <f t="shared" si="1"/>
        <v>10</v>
      </c>
      <c r="F142" s="46">
        <v>228</v>
      </c>
      <c r="G142" s="24" t="s">
        <v>87</v>
      </c>
      <c r="H142" s="24" t="s">
        <v>197</v>
      </c>
      <c r="I142" s="24" t="s">
        <v>208</v>
      </c>
      <c r="J142" s="24" t="s">
        <v>222</v>
      </c>
      <c r="K142" s="24" t="s">
        <v>226</v>
      </c>
      <c r="L142" s="24" t="s">
        <v>230</v>
      </c>
      <c r="M142" s="24">
        <v>3</v>
      </c>
      <c r="N142" s="24" t="s">
        <v>71</v>
      </c>
      <c r="O142" s="24" t="s">
        <v>271</v>
      </c>
      <c r="P142" s="24" t="s">
        <v>286</v>
      </c>
      <c r="Q142" s="24" t="s">
        <v>288</v>
      </c>
      <c r="R142" s="24" t="s">
        <v>65</v>
      </c>
      <c r="S142" s="24" t="s">
        <v>37</v>
      </c>
      <c r="T142" s="24" t="s">
        <v>48</v>
      </c>
      <c r="U142" s="24" t="s">
        <v>113</v>
      </c>
    </row>
    <row r="143" spans="3:21" ht="21.9" customHeight="1" x14ac:dyDescent="0.3">
      <c r="C143" s="24">
        <v>401</v>
      </c>
      <c r="D143" s="45">
        <v>44116</v>
      </c>
      <c r="E143" s="24">
        <f t="shared" si="1"/>
        <v>10</v>
      </c>
      <c r="F143" s="46">
        <v>600</v>
      </c>
      <c r="G143" s="24" t="s">
        <v>86</v>
      </c>
      <c r="H143" s="24" t="s">
        <v>198</v>
      </c>
      <c r="I143" s="24" t="s">
        <v>207</v>
      </c>
      <c r="J143" s="24" t="s">
        <v>224</v>
      </c>
      <c r="K143" s="24" t="s">
        <v>228</v>
      </c>
      <c r="L143" s="24" t="s">
        <v>230</v>
      </c>
      <c r="M143" s="24">
        <v>1</v>
      </c>
      <c r="N143" s="24" t="s">
        <v>72</v>
      </c>
      <c r="O143" s="24" t="s">
        <v>250</v>
      </c>
      <c r="P143" s="24" t="s">
        <v>253</v>
      </c>
      <c r="Q143" s="24" t="s">
        <v>384</v>
      </c>
      <c r="R143" s="24" t="s">
        <v>404</v>
      </c>
      <c r="S143" s="24" t="s">
        <v>488</v>
      </c>
      <c r="T143" s="24" t="s">
        <v>241</v>
      </c>
      <c r="U143" s="24" t="s">
        <v>518</v>
      </c>
    </row>
    <row r="144" spans="3:21" ht="21.9" customHeight="1" x14ac:dyDescent="0.3">
      <c r="C144" s="24">
        <v>400</v>
      </c>
      <c r="D144" s="45">
        <v>44115</v>
      </c>
      <c r="E144" s="24">
        <f t="shared" si="1"/>
        <v>10</v>
      </c>
      <c r="F144" s="46">
        <v>510</v>
      </c>
      <c r="G144" s="24" t="s">
        <v>85</v>
      </c>
      <c r="H144" s="24" t="s">
        <v>199</v>
      </c>
      <c r="I144" s="24" t="s">
        <v>209</v>
      </c>
      <c r="J144" s="24" t="s">
        <v>216</v>
      </c>
      <c r="K144" s="24" t="s">
        <v>228</v>
      </c>
      <c r="L144" s="24" t="s">
        <v>221</v>
      </c>
      <c r="M144" s="24">
        <v>3</v>
      </c>
      <c r="N144" s="24" t="s">
        <v>77</v>
      </c>
      <c r="O144" s="24" t="s">
        <v>273</v>
      </c>
      <c r="P144" s="24" t="s">
        <v>241</v>
      </c>
      <c r="Q144" s="24" t="s">
        <v>287</v>
      </c>
      <c r="R144" s="24" t="s">
        <v>431</v>
      </c>
      <c r="S144" s="24" t="s">
        <v>493</v>
      </c>
      <c r="T144" s="24" t="s">
        <v>434</v>
      </c>
      <c r="U144" s="24" t="s">
        <v>113</v>
      </c>
    </row>
    <row r="145" spans="3:21" ht="21.9" customHeight="1" x14ac:dyDescent="0.3">
      <c r="C145" s="24">
        <v>399</v>
      </c>
      <c r="D145" s="45">
        <v>44114</v>
      </c>
      <c r="E145" s="24">
        <f t="shared" si="1"/>
        <v>10</v>
      </c>
      <c r="F145" s="46">
        <v>800</v>
      </c>
      <c r="G145" s="24" t="s">
        <v>84</v>
      </c>
      <c r="H145" s="24" t="s">
        <v>200</v>
      </c>
      <c r="I145" s="24" t="s">
        <v>208</v>
      </c>
      <c r="J145" s="24" t="s">
        <v>222</v>
      </c>
      <c r="K145" s="24" t="s">
        <v>228</v>
      </c>
      <c r="L145" s="24" t="s">
        <v>220</v>
      </c>
      <c r="M145" s="24">
        <v>2</v>
      </c>
      <c r="N145" s="24" t="s">
        <v>75</v>
      </c>
      <c r="O145" s="24" t="s">
        <v>26</v>
      </c>
      <c r="P145" s="24" t="s">
        <v>249</v>
      </c>
      <c r="Q145" s="24" t="s">
        <v>289</v>
      </c>
      <c r="R145" s="24" t="s">
        <v>338</v>
      </c>
      <c r="S145" s="24" t="s">
        <v>311</v>
      </c>
      <c r="T145" s="24" t="s">
        <v>47</v>
      </c>
      <c r="U145" s="24" t="s">
        <v>115</v>
      </c>
    </row>
    <row r="146" spans="3:21" ht="21.9" customHeight="1" x14ac:dyDescent="0.3">
      <c r="C146" s="24">
        <v>398</v>
      </c>
      <c r="D146" s="45">
        <v>44113</v>
      </c>
      <c r="E146" s="24">
        <f t="shared" si="1"/>
        <v>10</v>
      </c>
      <c r="F146" s="46">
        <v>800</v>
      </c>
      <c r="G146" s="24" t="s">
        <v>83</v>
      </c>
      <c r="H146" s="24" t="s">
        <v>201</v>
      </c>
      <c r="I146" s="24" t="s">
        <v>208</v>
      </c>
      <c r="J146" s="24" t="s">
        <v>222</v>
      </c>
      <c r="K146" s="24" t="s">
        <v>226</v>
      </c>
      <c r="L146" s="24" t="s">
        <v>230</v>
      </c>
      <c r="M146" s="24">
        <v>1</v>
      </c>
      <c r="N146" s="24" t="s">
        <v>76</v>
      </c>
      <c r="O146" s="24" t="s">
        <v>272</v>
      </c>
      <c r="P146" s="24" t="s">
        <v>245</v>
      </c>
      <c r="Q146" s="24" t="s">
        <v>288</v>
      </c>
      <c r="R146" s="24" t="s">
        <v>69</v>
      </c>
      <c r="S146" s="24" t="s">
        <v>41</v>
      </c>
      <c r="T146" s="24" t="s">
        <v>44</v>
      </c>
      <c r="U146" s="24" t="s">
        <v>113</v>
      </c>
    </row>
    <row r="147" spans="3:21" ht="21.9" customHeight="1" x14ac:dyDescent="0.3">
      <c r="C147" s="24">
        <v>397</v>
      </c>
      <c r="D147" s="45">
        <v>44112</v>
      </c>
      <c r="E147" s="24">
        <f t="shared" si="1"/>
        <v>10</v>
      </c>
      <c r="F147" s="46">
        <v>800</v>
      </c>
      <c r="G147" s="24" t="s">
        <v>82</v>
      </c>
      <c r="H147" s="24" t="s">
        <v>202</v>
      </c>
      <c r="I147" s="24" t="s">
        <v>207</v>
      </c>
      <c r="J147" s="24" t="s">
        <v>222</v>
      </c>
      <c r="K147" s="24" t="s">
        <v>226</v>
      </c>
      <c r="L147" s="24" t="s">
        <v>230</v>
      </c>
      <c r="M147" s="24">
        <v>2</v>
      </c>
      <c r="N147" s="24" t="s">
        <v>71</v>
      </c>
      <c r="O147" s="24" t="s">
        <v>271</v>
      </c>
      <c r="P147" s="24" t="s">
        <v>286</v>
      </c>
      <c r="Q147" s="24" t="s">
        <v>288</v>
      </c>
      <c r="R147" s="24" t="s">
        <v>388</v>
      </c>
      <c r="S147" s="24" t="s">
        <v>485</v>
      </c>
      <c r="T147" s="24" t="s">
        <v>390</v>
      </c>
      <c r="U147" s="24" t="s">
        <v>113</v>
      </c>
    </row>
    <row r="148" spans="3:21" ht="21.9" customHeight="1" x14ac:dyDescent="0.3">
      <c r="C148" s="24">
        <v>396</v>
      </c>
      <c r="D148" s="45">
        <v>44111</v>
      </c>
      <c r="E148" s="24">
        <f t="shared" si="1"/>
        <v>10</v>
      </c>
      <c r="F148" s="46">
        <v>500</v>
      </c>
      <c r="G148" s="24" t="s">
        <v>81</v>
      </c>
      <c r="H148" s="24" t="s">
        <v>203</v>
      </c>
      <c r="I148" s="24" t="s">
        <v>207</v>
      </c>
      <c r="J148" s="24" t="s">
        <v>223</v>
      </c>
      <c r="K148" s="24" t="s">
        <v>226</v>
      </c>
      <c r="L148" s="24" t="s">
        <v>230</v>
      </c>
      <c r="M148" s="24">
        <v>2</v>
      </c>
      <c r="N148" s="24" t="s">
        <v>71</v>
      </c>
      <c r="O148" s="24" t="s">
        <v>271</v>
      </c>
      <c r="P148" s="24" t="s">
        <v>286</v>
      </c>
      <c r="Q148" s="24" t="s">
        <v>288</v>
      </c>
      <c r="R148" s="24" t="s">
        <v>338</v>
      </c>
      <c r="S148" s="24" t="s">
        <v>311</v>
      </c>
      <c r="T148" s="24" t="s">
        <v>47</v>
      </c>
      <c r="U148" s="24" t="s">
        <v>115</v>
      </c>
    </row>
    <row r="149" spans="3:21" ht="21.9" customHeight="1" x14ac:dyDescent="0.3">
      <c r="C149" s="24">
        <v>395</v>
      </c>
      <c r="D149" s="45">
        <v>44110</v>
      </c>
      <c r="E149" s="24">
        <f t="shared" si="1"/>
        <v>10</v>
      </c>
      <c r="F149" s="46">
        <v>80</v>
      </c>
      <c r="G149" s="24" t="s">
        <v>80</v>
      </c>
      <c r="H149" s="24" t="s">
        <v>204</v>
      </c>
      <c r="I149" s="24" t="s">
        <v>207</v>
      </c>
      <c r="J149" s="24" t="s">
        <v>221</v>
      </c>
      <c r="K149" s="24" t="s">
        <v>229</v>
      </c>
      <c r="L149" s="24" t="s">
        <v>221</v>
      </c>
      <c r="M149" s="24">
        <v>2</v>
      </c>
      <c r="N149" s="24" t="s">
        <v>380</v>
      </c>
      <c r="O149" s="24" t="s">
        <v>381</v>
      </c>
      <c r="P149" s="24" t="s">
        <v>46</v>
      </c>
      <c r="Q149" s="24" t="s">
        <v>384</v>
      </c>
      <c r="R149" s="24" t="s">
        <v>431</v>
      </c>
      <c r="S149" s="24" t="s">
        <v>493</v>
      </c>
      <c r="T149" s="24" t="s">
        <v>434</v>
      </c>
      <c r="U149" s="24" t="s">
        <v>113</v>
      </c>
    </row>
    <row r="150" spans="3:21" ht="21.9" customHeight="1" x14ac:dyDescent="0.3">
      <c r="C150" s="24">
        <v>394</v>
      </c>
      <c r="D150" s="45">
        <v>44109</v>
      </c>
      <c r="E150" s="24">
        <f t="shared" si="1"/>
        <v>10</v>
      </c>
      <c r="F150" s="46">
        <v>105</v>
      </c>
      <c r="G150" s="24" t="s">
        <v>79</v>
      </c>
      <c r="H150" s="24" t="s">
        <v>205</v>
      </c>
      <c r="I150" s="24" t="s">
        <v>207</v>
      </c>
      <c r="J150" s="24" t="s">
        <v>221</v>
      </c>
      <c r="K150" s="24" t="s">
        <v>229</v>
      </c>
      <c r="L150" s="24" t="s">
        <v>221</v>
      </c>
      <c r="M150" s="24">
        <v>3</v>
      </c>
      <c r="N150" s="24" t="s">
        <v>73</v>
      </c>
      <c r="O150" s="24" t="s">
        <v>268</v>
      </c>
      <c r="P150" s="24" t="s">
        <v>262</v>
      </c>
      <c r="Q150" s="24" t="s">
        <v>288</v>
      </c>
      <c r="R150" s="24" t="s">
        <v>347</v>
      </c>
      <c r="S150" s="24" t="s">
        <v>335</v>
      </c>
      <c r="T150" s="24" t="s">
        <v>49</v>
      </c>
      <c r="U150" s="24" t="s">
        <v>113</v>
      </c>
    </row>
    <row r="151" spans="3:21" ht="21.9" customHeight="1" x14ac:dyDescent="0.3">
      <c r="C151" s="24">
        <v>393</v>
      </c>
      <c r="D151" s="45">
        <v>44108</v>
      </c>
      <c r="E151" s="24">
        <f t="shared" si="1"/>
        <v>10</v>
      </c>
      <c r="F151" s="46">
        <v>90</v>
      </c>
      <c r="G151" s="24" t="s">
        <v>78</v>
      </c>
      <c r="H151" s="24" t="s">
        <v>206</v>
      </c>
      <c r="I151" s="24" t="s">
        <v>207</v>
      </c>
      <c r="J151" s="24" t="s">
        <v>221</v>
      </c>
      <c r="K151" s="24" t="s">
        <v>229</v>
      </c>
      <c r="L151" s="24" t="s">
        <v>221</v>
      </c>
      <c r="M151" s="24">
        <v>3</v>
      </c>
      <c r="N151" s="24" t="s">
        <v>380</v>
      </c>
      <c r="O151" s="24" t="s">
        <v>381</v>
      </c>
      <c r="P151" s="24" t="s">
        <v>46</v>
      </c>
      <c r="Q151" s="24" t="s">
        <v>384</v>
      </c>
      <c r="R151" s="24" t="s">
        <v>290</v>
      </c>
      <c r="S151" s="24" t="s">
        <v>296</v>
      </c>
      <c r="T151" s="24" t="s">
        <v>45</v>
      </c>
      <c r="U151" s="24" t="s">
        <v>113</v>
      </c>
    </row>
    <row r="152" spans="3:21" ht="21.9" customHeight="1" x14ac:dyDescent="0.3">
      <c r="C152" s="24">
        <v>392</v>
      </c>
      <c r="D152" s="45">
        <v>44107</v>
      </c>
      <c r="E152" s="24">
        <f t="shared" si="1"/>
        <v>10</v>
      </c>
      <c r="F152" s="46">
        <v>3200</v>
      </c>
      <c r="G152" s="24" t="s">
        <v>121</v>
      </c>
      <c r="H152" s="24" t="s">
        <v>183</v>
      </c>
      <c r="I152" s="24" t="s">
        <v>207</v>
      </c>
      <c r="J152" s="24" t="s">
        <v>210</v>
      </c>
      <c r="K152" s="24" t="s">
        <v>184</v>
      </c>
      <c r="L152" s="24" t="s">
        <v>230</v>
      </c>
      <c r="M152" s="24">
        <v>2</v>
      </c>
      <c r="N152" s="24" t="s">
        <v>76</v>
      </c>
      <c r="O152" s="24" t="s">
        <v>272</v>
      </c>
      <c r="P152" s="24" t="s">
        <v>245</v>
      </c>
      <c r="Q152" s="24" t="s">
        <v>288</v>
      </c>
      <c r="R152" s="24" t="s">
        <v>66</v>
      </c>
      <c r="S152" s="24" t="s">
        <v>38</v>
      </c>
      <c r="T152" s="24" t="s">
        <v>46</v>
      </c>
      <c r="U152" s="24" t="s">
        <v>115</v>
      </c>
    </row>
    <row r="153" spans="3:21" ht="21.9" customHeight="1" x14ac:dyDescent="0.3">
      <c r="C153" s="24">
        <v>391</v>
      </c>
      <c r="D153" s="45">
        <v>44106</v>
      </c>
      <c r="E153" s="24">
        <f t="shared" si="1"/>
        <v>10</v>
      </c>
      <c r="F153" s="46">
        <v>2800</v>
      </c>
      <c r="G153" s="24" t="s">
        <v>120</v>
      </c>
      <c r="H153" s="24" t="s">
        <v>185</v>
      </c>
      <c r="I153" s="24" t="s">
        <v>207</v>
      </c>
      <c r="J153" s="24" t="s">
        <v>210</v>
      </c>
      <c r="K153" s="24" t="s">
        <v>184</v>
      </c>
      <c r="L153" s="24" t="s">
        <v>230</v>
      </c>
      <c r="M153" s="24">
        <v>1</v>
      </c>
      <c r="N153" s="24" t="s">
        <v>75</v>
      </c>
      <c r="O153" s="24" t="s">
        <v>26</v>
      </c>
      <c r="P153" s="24" t="s">
        <v>249</v>
      </c>
      <c r="Q153" s="24" t="s">
        <v>289</v>
      </c>
      <c r="R153" s="24" t="s">
        <v>61</v>
      </c>
      <c r="S153" s="24" t="s">
        <v>33</v>
      </c>
      <c r="T153" s="24" t="s">
        <v>47</v>
      </c>
      <c r="U153" s="24" t="s">
        <v>113</v>
      </c>
    </row>
    <row r="154" spans="3:21" ht="21.9" customHeight="1" x14ac:dyDescent="0.3">
      <c r="C154" s="24">
        <v>390</v>
      </c>
      <c r="D154" s="45">
        <v>44105</v>
      </c>
      <c r="E154" s="24">
        <f t="shared" si="1"/>
        <v>10</v>
      </c>
      <c r="F154" s="46">
        <v>240</v>
      </c>
      <c r="G154" s="24" t="s">
        <v>97</v>
      </c>
      <c r="H154" s="24" t="s">
        <v>189</v>
      </c>
      <c r="I154" s="24" t="s">
        <v>207</v>
      </c>
      <c r="J154" s="24" t="s">
        <v>211</v>
      </c>
      <c r="K154" s="24" t="s">
        <v>227</v>
      </c>
      <c r="L154" s="24" t="s">
        <v>186</v>
      </c>
      <c r="M154" s="24">
        <v>3</v>
      </c>
      <c r="N154" s="24" t="s">
        <v>77</v>
      </c>
      <c r="O154" s="24" t="s">
        <v>273</v>
      </c>
      <c r="P154" s="24" t="s">
        <v>241</v>
      </c>
      <c r="Q154" s="24" t="s">
        <v>287</v>
      </c>
      <c r="R154" s="24" t="s">
        <v>414</v>
      </c>
      <c r="S154" s="24" t="s">
        <v>490</v>
      </c>
      <c r="T154" s="24" t="s">
        <v>46</v>
      </c>
      <c r="U154" s="24" t="s">
        <v>113</v>
      </c>
    </row>
    <row r="155" spans="3:21" ht="21.9" customHeight="1" x14ac:dyDescent="0.3">
      <c r="C155" s="24">
        <v>389</v>
      </c>
      <c r="D155" s="45">
        <v>44123</v>
      </c>
      <c r="E155" s="24">
        <f t="shared" si="1"/>
        <v>10</v>
      </c>
      <c r="F155" s="46">
        <v>60</v>
      </c>
      <c r="G155" s="24" t="s">
        <v>96</v>
      </c>
      <c r="H155" s="24" t="s">
        <v>190</v>
      </c>
      <c r="I155" s="24" t="s">
        <v>208</v>
      </c>
      <c r="J155" s="24" t="s">
        <v>212</v>
      </c>
      <c r="K155" s="24" t="s">
        <v>227</v>
      </c>
      <c r="L155" s="24" t="s">
        <v>223</v>
      </c>
      <c r="M155" s="24">
        <v>1</v>
      </c>
      <c r="N155" s="24" t="s">
        <v>51</v>
      </c>
      <c r="O155" s="24" t="s">
        <v>269</v>
      </c>
      <c r="P155" s="24" t="s">
        <v>262</v>
      </c>
      <c r="Q155" s="24" t="s">
        <v>288</v>
      </c>
      <c r="R155" s="24" t="s">
        <v>68</v>
      </c>
      <c r="S155" s="24" t="s">
        <v>40</v>
      </c>
      <c r="T155" s="24" t="s">
        <v>46</v>
      </c>
      <c r="U155" s="24" t="s">
        <v>115</v>
      </c>
    </row>
    <row r="156" spans="3:21" ht="21.9" customHeight="1" x14ac:dyDescent="0.3">
      <c r="C156" s="24">
        <v>388</v>
      </c>
      <c r="D156" s="45">
        <v>44122</v>
      </c>
      <c r="E156" s="24">
        <f t="shared" si="1"/>
        <v>10</v>
      </c>
      <c r="F156" s="46">
        <v>200</v>
      </c>
      <c r="G156" s="24" t="s">
        <v>95</v>
      </c>
      <c r="H156" s="24" t="s">
        <v>191</v>
      </c>
      <c r="I156" s="24" t="s">
        <v>207</v>
      </c>
      <c r="J156" s="24" t="s">
        <v>222</v>
      </c>
      <c r="K156" s="24" t="s">
        <v>226</v>
      </c>
      <c r="L156" s="24" t="s">
        <v>231</v>
      </c>
      <c r="M156" s="24">
        <v>2</v>
      </c>
      <c r="N156" s="24" t="s">
        <v>73</v>
      </c>
      <c r="O156" s="24" t="s">
        <v>268</v>
      </c>
      <c r="P156" s="24" t="s">
        <v>262</v>
      </c>
      <c r="Q156" s="24" t="s">
        <v>288</v>
      </c>
      <c r="R156" s="24" t="s">
        <v>59</v>
      </c>
      <c r="S156" s="24" t="s">
        <v>31</v>
      </c>
      <c r="T156" s="24" t="s">
        <v>327</v>
      </c>
      <c r="U156" s="24" t="s">
        <v>114</v>
      </c>
    </row>
    <row r="157" spans="3:21" ht="21.9" customHeight="1" x14ac:dyDescent="0.3">
      <c r="C157" s="24">
        <v>387</v>
      </c>
      <c r="D157" s="45">
        <v>44121</v>
      </c>
      <c r="E157" s="24">
        <f t="shared" si="1"/>
        <v>10</v>
      </c>
      <c r="F157" s="46">
        <v>900</v>
      </c>
      <c r="G157" s="24" t="s">
        <v>94</v>
      </c>
      <c r="H157" s="24" t="s">
        <v>192</v>
      </c>
      <c r="I157" s="24" t="s">
        <v>207</v>
      </c>
      <c r="J157" s="24" t="s">
        <v>216</v>
      </c>
      <c r="K157" s="24" t="s">
        <v>187</v>
      </c>
      <c r="L157" s="24" t="s">
        <v>232</v>
      </c>
      <c r="M157" s="24">
        <v>3</v>
      </c>
      <c r="N157" s="24" t="s">
        <v>73</v>
      </c>
      <c r="O157" s="24" t="s">
        <v>268</v>
      </c>
      <c r="P157" s="24" t="s">
        <v>262</v>
      </c>
      <c r="Q157" s="24" t="s">
        <v>288</v>
      </c>
      <c r="R157" s="24" t="s">
        <v>393</v>
      </c>
      <c r="S157" s="24" t="s">
        <v>486</v>
      </c>
      <c r="T157" s="24" t="s">
        <v>395</v>
      </c>
      <c r="U157" s="24" t="s">
        <v>113</v>
      </c>
    </row>
    <row r="158" spans="3:21" ht="21.9" customHeight="1" x14ac:dyDescent="0.3">
      <c r="C158" s="24">
        <v>386</v>
      </c>
      <c r="D158" s="45">
        <v>44120</v>
      </c>
      <c r="E158" s="24">
        <f t="shared" si="1"/>
        <v>10</v>
      </c>
      <c r="F158" s="46">
        <v>700</v>
      </c>
      <c r="G158" s="24" t="s">
        <v>93</v>
      </c>
      <c r="H158" s="24" t="s">
        <v>193</v>
      </c>
      <c r="I158" s="24" t="s">
        <v>208</v>
      </c>
      <c r="J158" s="24" t="s">
        <v>218</v>
      </c>
      <c r="K158" s="24" t="s">
        <v>187</v>
      </c>
      <c r="L158" s="24" t="s">
        <v>186</v>
      </c>
      <c r="M158" s="24">
        <v>2</v>
      </c>
      <c r="N158" s="24" t="s">
        <v>77</v>
      </c>
      <c r="O158" s="24" t="s">
        <v>273</v>
      </c>
      <c r="P158" s="24" t="s">
        <v>241</v>
      </c>
      <c r="Q158" s="24" t="s">
        <v>287</v>
      </c>
      <c r="R158" s="24" t="s">
        <v>60</v>
      </c>
      <c r="S158" s="24" t="s">
        <v>32</v>
      </c>
      <c r="T158" s="24" t="s">
        <v>48</v>
      </c>
      <c r="U158" s="24" t="s">
        <v>113</v>
      </c>
    </row>
    <row r="159" spans="3:21" ht="21.9" customHeight="1" x14ac:dyDescent="0.3">
      <c r="C159" s="24">
        <v>385</v>
      </c>
      <c r="D159" s="45">
        <v>44119</v>
      </c>
      <c r="E159" s="24">
        <f t="shared" si="1"/>
        <v>10</v>
      </c>
      <c r="F159" s="46">
        <v>810</v>
      </c>
      <c r="G159" s="24" t="s">
        <v>92</v>
      </c>
      <c r="H159" s="24" t="s">
        <v>225</v>
      </c>
      <c r="I159" s="24" t="s">
        <v>207</v>
      </c>
      <c r="J159" s="24" t="s">
        <v>219</v>
      </c>
      <c r="K159" s="24" t="s">
        <v>226</v>
      </c>
      <c r="L159" s="24" t="s">
        <v>186</v>
      </c>
      <c r="M159" s="24">
        <v>3</v>
      </c>
      <c r="N159" s="24" t="s">
        <v>51</v>
      </c>
      <c r="O159" s="24" t="s">
        <v>269</v>
      </c>
      <c r="P159" s="24" t="s">
        <v>262</v>
      </c>
      <c r="Q159" s="24" t="s">
        <v>288</v>
      </c>
      <c r="R159" s="24" t="s">
        <v>67</v>
      </c>
      <c r="S159" s="24" t="s">
        <v>39</v>
      </c>
      <c r="T159" s="24" t="s">
        <v>45</v>
      </c>
      <c r="U159" s="24" t="s">
        <v>116</v>
      </c>
    </row>
    <row r="160" spans="3:21" ht="21.9" customHeight="1" x14ac:dyDescent="0.3">
      <c r="C160" s="24">
        <v>384</v>
      </c>
      <c r="D160" s="45">
        <v>44118</v>
      </c>
      <c r="E160" s="24">
        <f t="shared" si="1"/>
        <v>10</v>
      </c>
      <c r="F160" s="46">
        <v>1000</v>
      </c>
      <c r="G160" s="24" t="s">
        <v>91</v>
      </c>
      <c r="H160" s="24" t="s">
        <v>194</v>
      </c>
      <c r="I160" s="24" t="s">
        <v>209</v>
      </c>
      <c r="J160" s="24" t="s">
        <v>219</v>
      </c>
      <c r="K160" s="24" t="s">
        <v>187</v>
      </c>
      <c r="L160" s="24" t="s">
        <v>186</v>
      </c>
      <c r="M160" s="24">
        <v>2</v>
      </c>
      <c r="N160" s="24" t="s">
        <v>71</v>
      </c>
      <c r="O160" s="24" t="s">
        <v>271</v>
      </c>
      <c r="P160" s="24" t="s">
        <v>286</v>
      </c>
      <c r="Q160" s="24" t="s">
        <v>288</v>
      </c>
      <c r="R160" s="24" t="s">
        <v>481</v>
      </c>
      <c r="S160" s="24" t="s">
        <v>501</v>
      </c>
      <c r="T160" s="24" t="s">
        <v>49</v>
      </c>
      <c r="U160" s="24" t="s">
        <v>115</v>
      </c>
    </row>
    <row r="161" spans="3:21" ht="21.9" customHeight="1" x14ac:dyDescent="0.3">
      <c r="C161" s="24">
        <v>383</v>
      </c>
      <c r="D161" s="45">
        <v>44117</v>
      </c>
      <c r="E161" s="24">
        <f t="shared" si="1"/>
        <v>10</v>
      </c>
      <c r="F161" s="46">
        <v>2700</v>
      </c>
      <c r="G161" s="24" t="s">
        <v>90</v>
      </c>
      <c r="H161" s="24" t="s">
        <v>188</v>
      </c>
      <c r="I161" s="24" t="s">
        <v>209</v>
      </c>
      <c r="J161" s="24" t="s">
        <v>220</v>
      </c>
      <c r="K161" s="24" t="s">
        <v>187</v>
      </c>
      <c r="L161" s="24" t="s">
        <v>220</v>
      </c>
      <c r="M161" s="24">
        <v>3</v>
      </c>
      <c r="N161" s="24" t="s">
        <v>51</v>
      </c>
      <c r="O161" s="24" t="s">
        <v>269</v>
      </c>
      <c r="P161" s="24" t="s">
        <v>262</v>
      </c>
      <c r="Q161" s="24" t="s">
        <v>288</v>
      </c>
      <c r="R161" s="24" t="s">
        <v>459</v>
      </c>
      <c r="S161" s="24" t="s">
        <v>498</v>
      </c>
      <c r="T161" s="24" t="s">
        <v>462</v>
      </c>
      <c r="U161" s="24" t="s">
        <v>113</v>
      </c>
    </row>
    <row r="162" spans="3:21" ht="21.9" customHeight="1" x14ac:dyDescent="0.3">
      <c r="C162" s="24">
        <v>382</v>
      </c>
      <c r="D162" s="45">
        <v>44116</v>
      </c>
      <c r="E162" s="24">
        <f t="shared" si="1"/>
        <v>10</v>
      </c>
      <c r="F162" s="46">
        <v>120</v>
      </c>
      <c r="G162" s="24" t="s">
        <v>89</v>
      </c>
      <c r="H162" s="24" t="s">
        <v>195</v>
      </c>
      <c r="I162" s="24" t="s">
        <v>207</v>
      </c>
      <c r="J162" s="24" t="s">
        <v>223</v>
      </c>
      <c r="K162" s="24" t="s">
        <v>226</v>
      </c>
      <c r="L162" s="24" t="s">
        <v>220</v>
      </c>
      <c r="M162" s="24">
        <v>2</v>
      </c>
      <c r="N162" s="24" t="s">
        <v>74</v>
      </c>
      <c r="O162" s="24" t="s">
        <v>270</v>
      </c>
      <c r="P162" s="24" t="s">
        <v>260</v>
      </c>
      <c r="Q162" s="24" t="s">
        <v>288</v>
      </c>
      <c r="R162" s="24" t="s">
        <v>476</v>
      </c>
      <c r="S162" s="24" t="s">
        <v>477</v>
      </c>
      <c r="T162" s="24" t="s">
        <v>253</v>
      </c>
      <c r="U162" s="24" t="s">
        <v>113</v>
      </c>
    </row>
    <row r="163" spans="3:21" ht="21.9" customHeight="1" x14ac:dyDescent="0.3">
      <c r="C163" s="24">
        <v>381</v>
      </c>
      <c r="D163" s="45">
        <v>44115</v>
      </c>
      <c r="E163" s="24">
        <f t="shared" si="1"/>
        <v>10</v>
      </c>
      <c r="F163" s="46">
        <v>140</v>
      </c>
      <c r="G163" s="24" t="s">
        <v>88</v>
      </c>
      <c r="H163" s="24" t="s">
        <v>196</v>
      </c>
      <c r="I163" s="24" t="s">
        <v>208</v>
      </c>
      <c r="J163" s="24" t="s">
        <v>216</v>
      </c>
      <c r="K163" s="24" t="s">
        <v>226</v>
      </c>
      <c r="L163" s="24" t="s">
        <v>230</v>
      </c>
      <c r="M163" s="24">
        <v>2</v>
      </c>
      <c r="N163" s="24" t="s">
        <v>76</v>
      </c>
      <c r="O163" s="24" t="s">
        <v>272</v>
      </c>
      <c r="P163" s="24" t="s">
        <v>245</v>
      </c>
      <c r="Q163" s="24" t="s">
        <v>288</v>
      </c>
      <c r="R163" s="24" t="s">
        <v>62</v>
      </c>
      <c r="S163" s="24" t="s">
        <v>34</v>
      </c>
      <c r="T163" s="24" t="s">
        <v>47</v>
      </c>
      <c r="U163" s="24" t="s">
        <v>115</v>
      </c>
    </row>
    <row r="164" spans="3:21" ht="21.9" customHeight="1" x14ac:dyDescent="0.3">
      <c r="C164" s="24">
        <v>380</v>
      </c>
      <c r="D164" s="45">
        <v>44114</v>
      </c>
      <c r="E164" s="24">
        <f t="shared" si="1"/>
        <v>10</v>
      </c>
      <c r="F164" s="46">
        <v>152</v>
      </c>
      <c r="G164" s="24" t="s">
        <v>87</v>
      </c>
      <c r="H164" s="24" t="s">
        <v>197</v>
      </c>
      <c r="I164" s="24" t="s">
        <v>208</v>
      </c>
      <c r="J164" s="24" t="s">
        <v>222</v>
      </c>
      <c r="K164" s="24" t="s">
        <v>226</v>
      </c>
      <c r="L164" s="24" t="s">
        <v>230</v>
      </c>
      <c r="M164" s="24">
        <v>2</v>
      </c>
      <c r="N164" s="24" t="s">
        <v>76</v>
      </c>
      <c r="O164" s="24" t="s">
        <v>272</v>
      </c>
      <c r="P164" s="24" t="s">
        <v>245</v>
      </c>
      <c r="Q164" s="24" t="s">
        <v>288</v>
      </c>
      <c r="R164" s="24" t="s">
        <v>69</v>
      </c>
      <c r="S164" s="24" t="s">
        <v>41</v>
      </c>
      <c r="T164" s="24" t="s">
        <v>44</v>
      </c>
      <c r="U164" s="24" t="s">
        <v>113</v>
      </c>
    </row>
    <row r="165" spans="3:21" ht="21.9" customHeight="1" x14ac:dyDescent="0.3">
      <c r="C165" s="24">
        <v>379</v>
      </c>
      <c r="D165" s="45">
        <v>44113</v>
      </c>
      <c r="E165" s="24">
        <f t="shared" si="1"/>
        <v>10</v>
      </c>
      <c r="F165" s="46">
        <v>1200</v>
      </c>
      <c r="G165" s="24" t="s">
        <v>86</v>
      </c>
      <c r="H165" s="24" t="s">
        <v>198</v>
      </c>
      <c r="I165" s="24" t="s">
        <v>207</v>
      </c>
      <c r="J165" s="24" t="s">
        <v>224</v>
      </c>
      <c r="K165" s="24" t="s">
        <v>228</v>
      </c>
      <c r="L165" s="24" t="s">
        <v>230</v>
      </c>
      <c r="M165" s="24">
        <v>2</v>
      </c>
      <c r="N165" s="24" t="s">
        <v>380</v>
      </c>
      <c r="O165" s="24" t="s">
        <v>381</v>
      </c>
      <c r="P165" s="24" t="s">
        <v>46</v>
      </c>
      <c r="Q165" s="24" t="s">
        <v>384</v>
      </c>
      <c r="R165" s="24" t="s">
        <v>66</v>
      </c>
      <c r="S165" s="24" t="s">
        <v>38</v>
      </c>
      <c r="T165" s="24" t="s">
        <v>46</v>
      </c>
      <c r="U165" s="24" t="s">
        <v>115</v>
      </c>
    </row>
    <row r="166" spans="3:21" ht="21.9" customHeight="1" x14ac:dyDescent="0.3">
      <c r="C166" s="24">
        <v>378</v>
      </c>
      <c r="D166" s="45">
        <v>44112</v>
      </c>
      <c r="E166" s="24">
        <f t="shared" ref="E166:E229" si="2">MONTH(D166)</f>
        <v>10</v>
      </c>
      <c r="F166" s="46">
        <v>170</v>
      </c>
      <c r="G166" s="24" t="s">
        <v>85</v>
      </c>
      <c r="H166" s="24" t="s">
        <v>199</v>
      </c>
      <c r="I166" s="24" t="s">
        <v>209</v>
      </c>
      <c r="J166" s="24" t="s">
        <v>216</v>
      </c>
      <c r="K166" s="24" t="s">
        <v>228</v>
      </c>
      <c r="L166" s="24" t="s">
        <v>221</v>
      </c>
      <c r="M166" s="24">
        <v>1</v>
      </c>
      <c r="N166" s="24" t="s">
        <v>380</v>
      </c>
      <c r="O166" s="24" t="s">
        <v>381</v>
      </c>
      <c r="P166" s="24" t="s">
        <v>46</v>
      </c>
      <c r="Q166" s="24" t="s">
        <v>384</v>
      </c>
      <c r="R166" s="24" t="s">
        <v>61</v>
      </c>
      <c r="S166" s="24" t="s">
        <v>33</v>
      </c>
      <c r="T166" s="24" t="s">
        <v>47</v>
      </c>
      <c r="U166" s="24" t="s">
        <v>113</v>
      </c>
    </row>
    <row r="167" spans="3:21" ht="21.9" customHeight="1" x14ac:dyDescent="0.3">
      <c r="C167" s="24">
        <v>377</v>
      </c>
      <c r="D167" s="45">
        <v>44111</v>
      </c>
      <c r="E167" s="24">
        <f t="shared" si="2"/>
        <v>10</v>
      </c>
      <c r="F167" s="46">
        <v>1200</v>
      </c>
      <c r="G167" s="24" t="s">
        <v>84</v>
      </c>
      <c r="H167" s="24" t="s">
        <v>200</v>
      </c>
      <c r="I167" s="24" t="s">
        <v>208</v>
      </c>
      <c r="J167" s="24" t="s">
        <v>222</v>
      </c>
      <c r="K167" s="24" t="s">
        <v>228</v>
      </c>
      <c r="L167" s="24" t="s">
        <v>220</v>
      </c>
      <c r="M167" s="24">
        <v>3</v>
      </c>
      <c r="N167" s="24" t="s">
        <v>76</v>
      </c>
      <c r="O167" s="24" t="s">
        <v>272</v>
      </c>
      <c r="P167" s="24" t="s">
        <v>245</v>
      </c>
      <c r="Q167" s="24" t="s">
        <v>288</v>
      </c>
      <c r="R167" s="24" t="s">
        <v>62</v>
      </c>
      <c r="S167" s="24" t="s">
        <v>34</v>
      </c>
      <c r="T167" s="24" t="s">
        <v>47</v>
      </c>
      <c r="U167" s="24" t="s">
        <v>115</v>
      </c>
    </row>
    <row r="168" spans="3:21" ht="21.9" customHeight="1" x14ac:dyDescent="0.3">
      <c r="C168" s="24">
        <v>376</v>
      </c>
      <c r="D168" s="45">
        <v>44110</v>
      </c>
      <c r="E168" s="24">
        <f t="shared" si="2"/>
        <v>10</v>
      </c>
      <c r="F168" s="46">
        <v>2400</v>
      </c>
      <c r="G168" s="24" t="s">
        <v>83</v>
      </c>
      <c r="H168" s="24" t="s">
        <v>201</v>
      </c>
      <c r="I168" s="24" t="s">
        <v>208</v>
      </c>
      <c r="J168" s="24" t="s">
        <v>222</v>
      </c>
      <c r="K168" s="24" t="s">
        <v>226</v>
      </c>
      <c r="L168" s="24" t="s">
        <v>230</v>
      </c>
      <c r="M168" s="24">
        <v>3</v>
      </c>
      <c r="N168" s="24" t="s">
        <v>72</v>
      </c>
      <c r="O168" s="24" t="s">
        <v>250</v>
      </c>
      <c r="P168" s="24" t="s">
        <v>253</v>
      </c>
      <c r="Q168" s="24" t="s">
        <v>384</v>
      </c>
      <c r="R168" s="24" t="s">
        <v>344</v>
      </c>
      <c r="S168" s="24" t="s">
        <v>328</v>
      </c>
      <c r="T168" s="24" t="s">
        <v>46</v>
      </c>
      <c r="U168" s="24" t="s">
        <v>115</v>
      </c>
    </row>
    <row r="169" spans="3:21" ht="21.9" customHeight="1" x14ac:dyDescent="0.3">
      <c r="C169" s="24">
        <v>375</v>
      </c>
      <c r="D169" s="45">
        <v>44109</v>
      </c>
      <c r="E169" s="24">
        <f t="shared" si="2"/>
        <v>10</v>
      </c>
      <c r="F169" s="46">
        <v>1200</v>
      </c>
      <c r="G169" s="24" t="s">
        <v>82</v>
      </c>
      <c r="H169" s="24" t="s">
        <v>202</v>
      </c>
      <c r="I169" s="24" t="s">
        <v>207</v>
      </c>
      <c r="J169" s="24" t="s">
        <v>222</v>
      </c>
      <c r="K169" s="24" t="s">
        <v>226</v>
      </c>
      <c r="L169" s="24" t="s">
        <v>230</v>
      </c>
      <c r="M169" s="24">
        <v>3</v>
      </c>
      <c r="N169" s="24" t="s">
        <v>380</v>
      </c>
      <c r="O169" s="24" t="s">
        <v>381</v>
      </c>
      <c r="P169" s="24" t="s">
        <v>46</v>
      </c>
      <c r="Q169" s="24" t="s">
        <v>384</v>
      </c>
      <c r="R169" s="24" t="s">
        <v>55</v>
      </c>
      <c r="S169" s="24" t="s">
        <v>27</v>
      </c>
      <c r="T169" s="24" t="s">
        <v>47</v>
      </c>
      <c r="U169" s="24" t="s">
        <v>113</v>
      </c>
    </row>
    <row r="170" spans="3:21" ht="21.9" customHeight="1" x14ac:dyDescent="0.3">
      <c r="C170" s="24">
        <v>374</v>
      </c>
      <c r="D170" s="45">
        <v>44108</v>
      </c>
      <c r="E170" s="24">
        <f t="shared" si="2"/>
        <v>10</v>
      </c>
      <c r="F170" s="46">
        <v>500</v>
      </c>
      <c r="G170" s="24" t="s">
        <v>81</v>
      </c>
      <c r="H170" s="24" t="s">
        <v>203</v>
      </c>
      <c r="I170" s="24" t="s">
        <v>207</v>
      </c>
      <c r="J170" s="24" t="s">
        <v>223</v>
      </c>
      <c r="K170" s="24" t="s">
        <v>226</v>
      </c>
      <c r="L170" s="24" t="s">
        <v>230</v>
      </c>
      <c r="M170" s="24">
        <v>2</v>
      </c>
      <c r="N170" s="24" t="s">
        <v>71</v>
      </c>
      <c r="O170" s="24" t="s">
        <v>271</v>
      </c>
      <c r="P170" s="24" t="s">
        <v>286</v>
      </c>
      <c r="Q170" s="24" t="s">
        <v>288</v>
      </c>
      <c r="R170" s="24" t="s">
        <v>65</v>
      </c>
      <c r="S170" s="24" t="s">
        <v>37</v>
      </c>
      <c r="T170" s="24" t="s">
        <v>48</v>
      </c>
      <c r="U170" s="24" t="s">
        <v>113</v>
      </c>
    </row>
    <row r="171" spans="3:21" ht="21.9" customHeight="1" x14ac:dyDescent="0.3">
      <c r="C171" s="24">
        <v>373</v>
      </c>
      <c r="D171" s="45">
        <v>44107</v>
      </c>
      <c r="E171" s="24">
        <f t="shared" si="2"/>
        <v>10</v>
      </c>
      <c r="F171" s="46">
        <v>80</v>
      </c>
      <c r="G171" s="24" t="s">
        <v>80</v>
      </c>
      <c r="H171" s="24" t="s">
        <v>204</v>
      </c>
      <c r="I171" s="24" t="s">
        <v>207</v>
      </c>
      <c r="J171" s="24" t="s">
        <v>221</v>
      </c>
      <c r="K171" s="24" t="s">
        <v>229</v>
      </c>
      <c r="L171" s="24" t="s">
        <v>221</v>
      </c>
      <c r="M171" s="24">
        <v>2</v>
      </c>
      <c r="N171" s="24" t="s">
        <v>51</v>
      </c>
      <c r="O171" s="24" t="s">
        <v>269</v>
      </c>
      <c r="P171" s="24" t="s">
        <v>262</v>
      </c>
      <c r="Q171" s="24" t="s">
        <v>288</v>
      </c>
      <c r="R171" s="24" t="s">
        <v>425</v>
      </c>
      <c r="S171" s="24" t="s">
        <v>492</v>
      </c>
      <c r="T171" s="24" t="s">
        <v>428</v>
      </c>
      <c r="U171" s="24" t="s">
        <v>113</v>
      </c>
    </row>
    <row r="172" spans="3:21" ht="21.9" customHeight="1" x14ac:dyDescent="0.3">
      <c r="C172" s="24">
        <v>372</v>
      </c>
      <c r="D172" s="45">
        <v>44106</v>
      </c>
      <c r="E172" s="24">
        <f t="shared" si="2"/>
        <v>10</v>
      </c>
      <c r="F172" s="46">
        <v>105</v>
      </c>
      <c r="G172" s="24" t="s">
        <v>79</v>
      </c>
      <c r="H172" s="24" t="s">
        <v>205</v>
      </c>
      <c r="I172" s="24" t="s">
        <v>207</v>
      </c>
      <c r="J172" s="24" t="s">
        <v>221</v>
      </c>
      <c r="K172" s="24" t="s">
        <v>229</v>
      </c>
      <c r="L172" s="24" t="s">
        <v>221</v>
      </c>
      <c r="M172" s="24">
        <v>3</v>
      </c>
      <c r="N172" s="24" t="s">
        <v>71</v>
      </c>
      <c r="O172" s="24" t="s">
        <v>271</v>
      </c>
      <c r="P172" s="24" t="s">
        <v>286</v>
      </c>
      <c r="Q172" s="24" t="s">
        <v>288</v>
      </c>
      <c r="R172" s="24" t="s">
        <v>290</v>
      </c>
      <c r="S172" s="24" t="s">
        <v>296</v>
      </c>
      <c r="T172" s="24" t="s">
        <v>45</v>
      </c>
      <c r="U172" s="24" t="s">
        <v>113</v>
      </c>
    </row>
    <row r="173" spans="3:21" ht="21.9" customHeight="1" x14ac:dyDescent="0.3">
      <c r="C173" s="24">
        <v>371</v>
      </c>
      <c r="D173" s="45">
        <v>44105</v>
      </c>
      <c r="E173" s="24">
        <f t="shared" si="2"/>
        <v>10</v>
      </c>
      <c r="F173" s="46">
        <v>90</v>
      </c>
      <c r="G173" s="24" t="s">
        <v>78</v>
      </c>
      <c r="H173" s="24" t="s">
        <v>206</v>
      </c>
      <c r="I173" s="24" t="s">
        <v>207</v>
      </c>
      <c r="J173" s="24" t="s">
        <v>221</v>
      </c>
      <c r="K173" s="24" t="s">
        <v>229</v>
      </c>
      <c r="L173" s="24" t="s">
        <v>221</v>
      </c>
      <c r="M173" s="24">
        <v>3</v>
      </c>
      <c r="N173" s="24" t="s">
        <v>77</v>
      </c>
      <c r="O173" s="24" t="s">
        <v>273</v>
      </c>
      <c r="P173" s="24" t="s">
        <v>241</v>
      </c>
      <c r="Q173" s="24" t="s">
        <v>287</v>
      </c>
      <c r="R173" s="24" t="s">
        <v>65</v>
      </c>
      <c r="S173" s="24" t="s">
        <v>37</v>
      </c>
      <c r="T173" s="24" t="s">
        <v>48</v>
      </c>
      <c r="U173" s="24" t="s">
        <v>113</v>
      </c>
    </row>
    <row r="174" spans="3:21" ht="21.9" customHeight="1" x14ac:dyDescent="0.3">
      <c r="C174" s="24">
        <v>370</v>
      </c>
      <c r="D174" s="45">
        <v>44096</v>
      </c>
      <c r="E174" s="24">
        <f t="shared" si="2"/>
        <v>9</v>
      </c>
      <c r="F174" s="46">
        <v>180</v>
      </c>
      <c r="G174" s="24" t="s">
        <v>96</v>
      </c>
      <c r="H174" s="24" t="s">
        <v>190</v>
      </c>
      <c r="I174" s="24" t="s">
        <v>208</v>
      </c>
      <c r="J174" s="24" t="s">
        <v>212</v>
      </c>
      <c r="K174" s="24" t="s">
        <v>227</v>
      </c>
      <c r="L174" s="24" t="s">
        <v>223</v>
      </c>
      <c r="M174" s="24">
        <v>3</v>
      </c>
      <c r="N174" s="24" t="s">
        <v>77</v>
      </c>
      <c r="O174" s="24" t="s">
        <v>273</v>
      </c>
      <c r="P174" s="24" t="s">
        <v>241</v>
      </c>
      <c r="Q174" s="24" t="s">
        <v>287</v>
      </c>
      <c r="R174" s="24" t="s">
        <v>68</v>
      </c>
      <c r="S174" s="24" t="s">
        <v>40</v>
      </c>
      <c r="T174" s="24" t="s">
        <v>46</v>
      </c>
      <c r="U174" s="24" t="s">
        <v>115</v>
      </c>
    </row>
    <row r="175" spans="3:21" ht="21.9" customHeight="1" x14ac:dyDescent="0.3">
      <c r="C175" s="24">
        <v>369</v>
      </c>
      <c r="D175" s="45">
        <v>44095</v>
      </c>
      <c r="E175" s="24">
        <f t="shared" si="2"/>
        <v>9</v>
      </c>
      <c r="F175" s="46">
        <v>200</v>
      </c>
      <c r="G175" s="24" t="s">
        <v>95</v>
      </c>
      <c r="H175" s="24" t="s">
        <v>191</v>
      </c>
      <c r="I175" s="24" t="s">
        <v>207</v>
      </c>
      <c r="J175" s="24" t="s">
        <v>222</v>
      </c>
      <c r="K175" s="24" t="s">
        <v>226</v>
      </c>
      <c r="L175" s="24" t="s">
        <v>231</v>
      </c>
      <c r="M175" s="24">
        <v>2</v>
      </c>
      <c r="N175" s="24" t="s">
        <v>74</v>
      </c>
      <c r="O175" s="24" t="s">
        <v>270</v>
      </c>
      <c r="P175" s="24" t="s">
        <v>260</v>
      </c>
      <c r="Q175" s="24" t="s">
        <v>288</v>
      </c>
      <c r="R175" s="24" t="s">
        <v>481</v>
      </c>
      <c r="S175" s="24" t="s">
        <v>501</v>
      </c>
      <c r="T175" s="24" t="s">
        <v>49</v>
      </c>
      <c r="U175" s="24" t="s">
        <v>115</v>
      </c>
    </row>
    <row r="176" spans="3:21" ht="21.9" customHeight="1" x14ac:dyDescent="0.3">
      <c r="C176" s="24">
        <v>368</v>
      </c>
      <c r="D176" s="45">
        <v>44094</v>
      </c>
      <c r="E176" s="24">
        <f t="shared" si="2"/>
        <v>9</v>
      </c>
      <c r="F176" s="46">
        <v>600</v>
      </c>
      <c r="G176" s="24" t="s">
        <v>94</v>
      </c>
      <c r="H176" s="24" t="s">
        <v>192</v>
      </c>
      <c r="I176" s="24" t="s">
        <v>207</v>
      </c>
      <c r="J176" s="24" t="s">
        <v>216</v>
      </c>
      <c r="K176" s="24" t="s">
        <v>187</v>
      </c>
      <c r="L176" s="24" t="s">
        <v>232</v>
      </c>
      <c r="M176" s="24">
        <v>2</v>
      </c>
      <c r="N176" s="24" t="s">
        <v>71</v>
      </c>
      <c r="O176" s="24" t="s">
        <v>271</v>
      </c>
      <c r="P176" s="24" t="s">
        <v>286</v>
      </c>
      <c r="Q176" s="24" t="s">
        <v>288</v>
      </c>
      <c r="R176" s="24" t="s">
        <v>448</v>
      </c>
      <c r="S176" s="24" t="s">
        <v>496</v>
      </c>
      <c r="T176" s="24" t="s">
        <v>451</v>
      </c>
      <c r="U176" s="24" t="s">
        <v>113</v>
      </c>
    </row>
    <row r="177" spans="3:21" ht="21.9" customHeight="1" x14ac:dyDescent="0.3">
      <c r="C177" s="24">
        <v>367</v>
      </c>
      <c r="D177" s="45">
        <v>44093</v>
      </c>
      <c r="E177" s="24">
        <f t="shared" si="2"/>
        <v>9</v>
      </c>
      <c r="F177" s="46">
        <v>1050</v>
      </c>
      <c r="G177" s="24" t="s">
        <v>93</v>
      </c>
      <c r="H177" s="24" t="s">
        <v>193</v>
      </c>
      <c r="I177" s="24" t="s">
        <v>208</v>
      </c>
      <c r="J177" s="24" t="s">
        <v>218</v>
      </c>
      <c r="K177" s="24" t="s">
        <v>187</v>
      </c>
      <c r="L177" s="24" t="s">
        <v>186</v>
      </c>
      <c r="M177" s="24">
        <v>3</v>
      </c>
      <c r="N177" s="24" t="s">
        <v>51</v>
      </c>
      <c r="O177" s="24" t="s">
        <v>269</v>
      </c>
      <c r="P177" s="24" t="s">
        <v>262</v>
      </c>
      <c r="Q177" s="24" t="s">
        <v>288</v>
      </c>
      <c r="R177" s="24" t="s">
        <v>64</v>
      </c>
      <c r="S177" s="24" t="s">
        <v>36</v>
      </c>
      <c r="T177" s="24" t="s">
        <v>327</v>
      </c>
      <c r="U177" s="24" t="s">
        <v>114</v>
      </c>
    </row>
    <row r="178" spans="3:21" ht="21.9" customHeight="1" x14ac:dyDescent="0.3">
      <c r="C178" s="24">
        <v>366</v>
      </c>
      <c r="D178" s="45">
        <v>44092</v>
      </c>
      <c r="E178" s="24">
        <f t="shared" si="2"/>
        <v>9</v>
      </c>
      <c r="F178" s="46">
        <v>270</v>
      </c>
      <c r="G178" s="24" t="s">
        <v>92</v>
      </c>
      <c r="H178" s="24" t="s">
        <v>225</v>
      </c>
      <c r="I178" s="24" t="s">
        <v>207</v>
      </c>
      <c r="J178" s="24" t="s">
        <v>219</v>
      </c>
      <c r="K178" s="24" t="s">
        <v>226</v>
      </c>
      <c r="L178" s="24" t="s">
        <v>186</v>
      </c>
      <c r="M178" s="24">
        <v>1</v>
      </c>
      <c r="N178" s="24" t="s">
        <v>77</v>
      </c>
      <c r="O178" s="24" t="s">
        <v>273</v>
      </c>
      <c r="P178" s="24" t="s">
        <v>241</v>
      </c>
      <c r="Q178" s="24" t="s">
        <v>287</v>
      </c>
      <c r="R178" s="24" t="s">
        <v>346</v>
      </c>
      <c r="S178" s="24" t="s">
        <v>333</v>
      </c>
      <c r="T178" s="24" t="s">
        <v>47</v>
      </c>
      <c r="U178" s="24" t="s">
        <v>114</v>
      </c>
    </row>
    <row r="179" spans="3:21" ht="21.9" customHeight="1" x14ac:dyDescent="0.3">
      <c r="C179" s="24">
        <v>365</v>
      </c>
      <c r="D179" s="45">
        <v>44091</v>
      </c>
      <c r="E179" s="24">
        <f t="shared" si="2"/>
        <v>9</v>
      </c>
      <c r="F179" s="46">
        <v>500</v>
      </c>
      <c r="G179" s="24" t="s">
        <v>91</v>
      </c>
      <c r="H179" s="24" t="s">
        <v>194</v>
      </c>
      <c r="I179" s="24" t="s">
        <v>209</v>
      </c>
      <c r="J179" s="24" t="s">
        <v>219</v>
      </c>
      <c r="K179" s="24" t="s">
        <v>187</v>
      </c>
      <c r="L179" s="24" t="s">
        <v>186</v>
      </c>
      <c r="M179" s="24">
        <v>1</v>
      </c>
      <c r="N179" s="24" t="s">
        <v>380</v>
      </c>
      <c r="O179" s="24" t="s">
        <v>381</v>
      </c>
      <c r="P179" s="24" t="s">
        <v>46</v>
      </c>
      <c r="Q179" s="24" t="s">
        <v>384</v>
      </c>
      <c r="R179" s="24" t="s">
        <v>63</v>
      </c>
      <c r="S179" s="24" t="s">
        <v>35</v>
      </c>
      <c r="T179" s="24" t="s">
        <v>45</v>
      </c>
      <c r="U179" s="24" t="s">
        <v>113</v>
      </c>
    </row>
    <row r="180" spans="3:21" ht="21.9" customHeight="1" x14ac:dyDescent="0.3">
      <c r="C180" s="24">
        <v>364</v>
      </c>
      <c r="D180" s="45">
        <v>44090</v>
      </c>
      <c r="E180" s="24">
        <f t="shared" si="2"/>
        <v>9</v>
      </c>
      <c r="F180" s="46">
        <v>900</v>
      </c>
      <c r="G180" s="24" t="s">
        <v>90</v>
      </c>
      <c r="H180" s="24" t="s">
        <v>188</v>
      </c>
      <c r="I180" s="24" t="s">
        <v>209</v>
      </c>
      <c r="J180" s="24" t="s">
        <v>220</v>
      </c>
      <c r="K180" s="24" t="s">
        <v>187</v>
      </c>
      <c r="L180" s="24" t="s">
        <v>220</v>
      </c>
      <c r="M180" s="24">
        <v>1</v>
      </c>
      <c r="N180" s="24" t="s">
        <v>71</v>
      </c>
      <c r="O180" s="24" t="s">
        <v>271</v>
      </c>
      <c r="P180" s="24" t="s">
        <v>286</v>
      </c>
      <c r="Q180" s="24" t="s">
        <v>288</v>
      </c>
      <c r="R180" s="24" t="s">
        <v>57</v>
      </c>
      <c r="S180" s="24" t="s">
        <v>29</v>
      </c>
      <c r="T180" s="24" t="s">
        <v>49</v>
      </c>
      <c r="U180" s="24" t="s">
        <v>113</v>
      </c>
    </row>
    <row r="181" spans="3:21" ht="21.9" customHeight="1" x14ac:dyDescent="0.3">
      <c r="C181" s="24">
        <v>363</v>
      </c>
      <c r="D181" s="45">
        <v>44089</v>
      </c>
      <c r="E181" s="24">
        <f t="shared" si="2"/>
        <v>9</v>
      </c>
      <c r="F181" s="46">
        <v>120</v>
      </c>
      <c r="G181" s="24" t="s">
        <v>89</v>
      </c>
      <c r="H181" s="24" t="s">
        <v>195</v>
      </c>
      <c r="I181" s="24" t="s">
        <v>207</v>
      </c>
      <c r="J181" s="24" t="s">
        <v>223</v>
      </c>
      <c r="K181" s="24" t="s">
        <v>226</v>
      </c>
      <c r="L181" s="24" t="s">
        <v>220</v>
      </c>
      <c r="M181" s="24">
        <v>2</v>
      </c>
      <c r="N181" s="24" t="s">
        <v>51</v>
      </c>
      <c r="O181" s="24" t="s">
        <v>269</v>
      </c>
      <c r="P181" s="24" t="s">
        <v>262</v>
      </c>
      <c r="Q181" s="24" t="s">
        <v>288</v>
      </c>
      <c r="R181" s="24" t="s">
        <v>61</v>
      </c>
      <c r="S181" s="24" t="s">
        <v>33</v>
      </c>
      <c r="T181" s="24" t="s">
        <v>47</v>
      </c>
      <c r="U181" s="24" t="s">
        <v>113</v>
      </c>
    </row>
    <row r="182" spans="3:21" ht="21.9" customHeight="1" x14ac:dyDescent="0.3">
      <c r="C182" s="24">
        <v>362</v>
      </c>
      <c r="D182" s="45">
        <v>44088</v>
      </c>
      <c r="E182" s="24">
        <f t="shared" si="2"/>
        <v>9</v>
      </c>
      <c r="F182" s="46">
        <v>70</v>
      </c>
      <c r="G182" s="24" t="s">
        <v>88</v>
      </c>
      <c r="H182" s="24" t="s">
        <v>196</v>
      </c>
      <c r="I182" s="24" t="s">
        <v>208</v>
      </c>
      <c r="J182" s="24" t="s">
        <v>216</v>
      </c>
      <c r="K182" s="24" t="s">
        <v>226</v>
      </c>
      <c r="L182" s="24" t="s">
        <v>230</v>
      </c>
      <c r="M182" s="24">
        <v>1</v>
      </c>
      <c r="N182" s="24" t="s">
        <v>71</v>
      </c>
      <c r="O182" s="24" t="s">
        <v>271</v>
      </c>
      <c r="P182" s="24" t="s">
        <v>286</v>
      </c>
      <c r="Q182" s="24" t="s">
        <v>288</v>
      </c>
      <c r="R182" s="24" t="s">
        <v>345</v>
      </c>
      <c r="S182" s="24" t="s">
        <v>330</v>
      </c>
      <c r="T182" s="24" t="s">
        <v>44</v>
      </c>
      <c r="U182" s="24" t="s">
        <v>113</v>
      </c>
    </row>
    <row r="183" spans="3:21" ht="21.9" customHeight="1" x14ac:dyDescent="0.3">
      <c r="C183" s="24">
        <v>361</v>
      </c>
      <c r="D183" s="45">
        <v>44087</v>
      </c>
      <c r="E183" s="24">
        <f t="shared" si="2"/>
        <v>9</v>
      </c>
      <c r="F183" s="46">
        <v>152</v>
      </c>
      <c r="G183" s="24" t="s">
        <v>87</v>
      </c>
      <c r="H183" s="24" t="s">
        <v>197</v>
      </c>
      <c r="I183" s="24" t="s">
        <v>208</v>
      </c>
      <c r="J183" s="24" t="s">
        <v>222</v>
      </c>
      <c r="K183" s="24" t="s">
        <v>226</v>
      </c>
      <c r="L183" s="24" t="s">
        <v>230</v>
      </c>
      <c r="M183" s="24">
        <v>2</v>
      </c>
      <c r="N183" s="24" t="s">
        <v>380</v>
      </c>
      <c r="O183" s="24" t="s">
        <v>381</v>
      </c>
      <c r="P183" s="24" t="s">
        <v>46</v>
      </c>
      <c r="Q183" s="24" t="s">
        <v>384</v>
      </c>
      <c r="R183" s="24" t="s">
        <v>60</v>
      </c>
      <c r="S183" s="24" t="s">
        <v>32</v>
      </c>
      <c r="T183" s="24" t="s">
        <v>48</v>
      </c>
      <c r="U183" s="24" t="s">
        <v>113</v>
      </c>
    </row>
    <row r="184" spans="3:21" ht="21.9" customHeight="1" x14ac:dyDescent="0.3">
      <c r="C184" s="24">
        <v>360</v>
      </c>
      <c r="D184" s="45">
        <v>44086</v>
      </c>
      <c r="E184" s="24">
        <f t="shared" si="2"/>
        <v>9</v>
      </c>
      <c r="F184" s="46">
        <v>1800</v>
      </c>
      <c r="G184" s="24" t="s">
        <v>86</v>
      </c>
      <c r="H184" s="24" t="s">
        <v>198</v>
      </c>
      <c r="I184" s="24" t="s">
        <v>207</v>
      </c>
      <c r="J184" s="24" t="s">
        <v>224</v>
      </c>
      <c r="K184" s="24" t="s">
        <v>228</v>
      </c>
      <c r="L184" s="24" t="s">
        <v>230</v>
      </c>
      <c r="M184" s="24">
        <v>3</v>
      </c>
      <c r="N184" s="24" t="s">
        <v>77</v>
      </c>
      <c r="O184" s="24" t="s">
        <v>273</v>
      </c>
      <c r="P184" s="24" t="s">
        <v>241</v>
      </c>
      <c r="Q184" s="24" t="s">
        <v>287</v>
      </c>
      <c r="R184" s="24" t="s">
        <v>343</v>
      </c>
      <c r="S184" s="24" t="s">
        <v>325</v>
      </c>
      <c r="T184" s="24" t="s">
        <v>45</v>
      </c>
      <c r="U184" s="24" t="s">
        <v>116</v>
      </c>
    </row>
    <row r="185" spans="3:21" ht="21.9" customHeight="1" x14ac:dyDescent="0.3">
      <c r="C185" s="24">
        <v>359</v>
      </c>
      <c r="D185" s="45">
        <v>44085</v>
      </c>
      <c r="E185" s="24">
        <f t="shared" si="2"/>
        <v>9</v>
      </c>
      <c r="F185" s="46">
        <v>170</v>
      </c>
      <c r="G185" s="24" t="s">
        <v>85</v>
      </c>
      <c r="H185" s="24" t="s">
        <v>199</v>
      </c>
      <c r="I185" s="24" t="s">
        <v>209</v>
      </c>
      <c r="J185" s="24" t="s">
        <v>216</v>
      </c>
      <c r="K185" s="24" t="s">
        <v>228</v>
      </c>
      <c r="L185" s="24" t="s">
        <v>221</v>
      </c>
      <c r="M185" s="24">
        <v>1</v>
      </c>
      <c r="N185" s="24" t="s">
        <v>72</v>
      </c>
      <c r="O185" s="24" t="s">
        <v>250</v>
      </c>
      <c r="P185" s="24" t="s">
        <v>253</v>
      </c>
      <c r="Q185" s="24" t="s">
        <v>384</v>
      </c>
      <c r="R185" s="24" t="s">
        <v>448</v>
      </c>
      <c r="S185" s="24" t="s">
        <v>496</v>
      </c>
      <c r="T185" s="24" t="s">
        <v>451</v>
      </c>
      <c r="U185" s="24" t="s">
        <v>113</v>
      </c>
    </row>
    <row r="186" spans="3:21" ht="21.9" customHeight="1" x14ac:dyDescent="0.3">
      <c r="C186" s="24">
        <v>358</v>
      </c>
      <c r="D186" s="45">
        <v>44084</v>
      </c>
      <c r="E186" s="24">
        <f t="shared" si="2"/>
        <v>9</v>
      </c>
      <c r="F186" s="46">
        <v>800</v>
      </c>
      <c r="G186" s="24" t="s">
        <v>84</v>
      </c>
      <c r="H186" s="24" t="s">
        <v>200</v>
      </c>
      <c r="I186" s="24" t="s">
        <v>208</v>
      </c>
      <c r="J186" s="24" t="s">
        <v>222</v>
      </c>
      <c r="K186" s="24" t="s">
        <v>228</v>
      </c>
      <c r="L186" s="24" t="s">
        <v>220</v>
      </c>
      <c r="M186" s="24">
        <v>2</v>
      </c>
      <c r="N186" s="24" t="s">
        <v>73</v>
      </c>
      <c r="O186" s="24" t="s">
        <v>268</v>
      </c>
      <c r="P186" s="24" t="s">
        <v>262</v>
      </c>
      <c r="Q186" s="24" t="s">
        <v>288</v>
      </c>
      <c r="R186" s="24" t="s">
        <v>476</v>
      </c>
      <c r="S186" s="24" t="s">
        <v>477</v>
      </c>
      <c r="T186" s="24" t="s">
        <v>253</v>
      </c>
      <c r="U186" s="24" t="s">
        <v>113</v>
      </c>
    </row>
    <row r="187" spans="3:21" ht="21.9" customHeight="1" x14ac:dyDescent="0.3">
      <c r="C187" s="24">
        <v>357</v>
      </c>
      <c r="D187" s="45">
        <v>44083</v>
      </c>
      <c r="E187" s="24">
        <f t="shared" si="2"/>
        <v>9</v>
      </c>
      <c r="F187" s="46">
        <v>800</v>
      </c>
      <c r="G187" s="24" t="s">
        <v>83</v>
      </c>
      <c r="H187" s="24" t="s">
        <v>201</v>
      </c>
      <c r="I187" s="24" t="s">
        <v>208</v>
      </c>
      <c r="J187" s="24" t="s">
        <v>222</v>
      </c>
      <c r="K187" s="24" t="s">
        <v>226</v>
      </c>
      <c r="L187" s="24" t="s">
        <v>230</v>
      </c>
      <c r="M187" s="24">
        <v>1</v>
      </c>
      <c r="N187" s="24" t="s">
        <v>72</v>
      </c>
      <c r="O187" s="24" t="s">
        <v>250</v>
      </c>
      <c r="P187" s="24" t="s">
        <v>253</v>
      </c>
      <c r="Q187" s="24" t="s">
        <v>384</v>
      </c>
      <c r="R187" s="24" t="s">
        <v>437</v>
      </c>
      <c r="S187" s="24" t="s">
        <v>494</v>
      </c>
      <c r="T187" s="24" t="s">
        <v>262</v>
      </c>
      <c r="U187" s="24" t="s">
        <v>113</v>
      </c>
    </row>
    <row r="188" spans="3:21" ht="21.9" customHeight="1" x14ac:dyDescent="0.3">
      <c r="C188" s="24">
        <v>356</v>
      </c>
      <c r="D188" s="45">
        <v>44082</v>
      </c>
      <c r="E188" s="24">
        <f t="shared" si="2"/>
        <v>9</v>
      </c>
      <c r="F188" s="46">
        <v>800</v>
      </c>
      <c r="G188" s="24" t="s">
        <v>82</v>
      </c>
      <c r="H188" s="24" t="s">
        <v>202</v>
      </c>
      <c r="I188" s="24" t="s">
        <v>207</v>
      </c>
      <c r="J188" s="24" t="s">
        <v>222</v>
      </c>
      <c r="K188" s="24" t="s">
        <v>226</v>
      </c>
      <c r="L188" s="24" t="s">
        <v>230</v>
      </c>
      <c r="M188" s="24">
        <v>2</v>
      </c>
      <c r="N188" s="24" t="s">
        <v>75</v>
      </c>
      <c r="O188" s="24" t="s">
        <v>26</v>
      </c>
      <c r="P188" s="24" t="s">
        <v>249</v>
      </c>
      <c r="Q188" s="24" t="s">
        <v>289</v>
      </c>
      <c r="R188" s="24" t="s">
        <v>404</v>
      </c>
      <c r="S188" s="24" t="s">
        <v>488</v>
      </c>
      <c r="T188" s="24" t="s">
        <v>241</v>
      </c>
      <c r="U188" s="24" t="s">
        <v>518</v>
      </c>
    </row>
    <row r="189" spans="3:21" ht="21.9" customHeight="1" x14ac:dyDescent="0.3">
      <c r="C189" s="24">
        <v>355</v>
      </c>
      <c r="D189" s="45">
        <v>44081</v>
      </c>
      <c r="E189" s="24">
        <f t="shared" si="2"/>
        <v>9</v>
      </c>
      <c r="F189" s="46">
        <v>500</v>
      </c>
      <c r="G189" s="24" t="s">
        <v>81</v>
      </c>
      <c r="H189" s="24" t="s">
        <v>203</v>
      </c>
      <c r="I189" s="24" t="s">
        <v>207</v>
      </c>
      <c r="J189" s="24" t="s">
        <v>223</v>
      </c>
      <c r="K189" s="24" t="s">
        <v>226</v>
      </c>
      <c r="L189" s="24" t="s">
        <v>230</v>
      </c>
      <c r="M189" s="24">
        <v>2</v>
      </c>
      <c r="N189" s="24" t="s">
        <v>77</v>
      </c>
      <c r="O189" s="24" t="s">
        <v>273</v>
      </c>
      <c r="P189" s="24" t="s">
        <v>241</v>
      </c>
      <c r="Q189" s="24" t="s">
        <v>287</v>
      </c>
      <c r="R189" s="24" t="s">
        <v>337</v>
      </c>
      <c r="S189" s="24" t="s">
        <v>43</v>
      </c>
      <c r="T189" s="24" t="s">
        <v>49</v>
      </c>
      <c r="U189" s="24" t="s">
        <v>113</v>
      </c>
    </row>
    <row r="190" spans="3:21" ht="21.9" customHeight="1" x14ac:dyDescent="0.3">
      <c r="C190" s="24">
        <v>354</v>
      </c>
      <c r="D190" s="45">
        <v>44080</v>
      </c>
      <c r="E190" s="24">
        <f t="shared" si="2"/>
        <v>9</v>
      </c>
      <c r="F190" s="46">
        <v>80</v>
      </c>
      <c r="G190" s="24" t="s">
        <v>80</v>
      </c>
      <c r="H190" s="24" t="s">
        <v>204</v>
      </c>
      <c r="I190" s="24" t="s">
        <v>207</v>
      </c>
      <c r="J190" s="24" t="s">
        <v>221</v>
      </c>
      <c r="K190" s="24" t="s">
        <v>229</v>
      </c>
      <c r="L190" s="24" t="s">
        <v>221</v>
      </c>
      <c r="M190" s="24">
        <v>2</v>
      </c>
      <c r="N190" s="24" t="s">
        <v>380</v>
      </c>
      <c r="O190" s="24" t="s">
        <v>381</v>
      </c>
      <c r="P190" s="24" t="s">
        <v>46</v>
      </c>
      <c r="Q190" s="24" t="s">
        <v>384</v>
      </c>
      <c r="R190" s="24" t="s">
        <v>465</v>
      </c>
      <c r="S190" s="24" t="s">
        <v>499</v>
      </c>
      <c r="T190" s="24" t="s">
        <v>249</v>
      </c>
      <c r="U190" s="24" t="s">
        <v>113</v>
      </c>
    </row>
    <row r="191" spans="3:21" ht="21.9" customHeight="1" x14ac:dyDescent="0.3">
      <c r="C191" s="24">
        <v>353</v>
      </c>
      <c r="D191" s="45">
        <v>44079</v>
      </c>
      <c r="E191" s="24">
        <f t="shared" si="2"/>
        <v>9</v>
      </c>
      <c r="F191" s="46">
        <v>70</v>
      </c>
      <c r="G191" s="24" t="s">
        <v>79</v>
      </c>
      <c r="H191" s="24" t="s">
        <v>205</v>
      </c>
      <c r="I191" s="24" t="s">
        <v>207</v>
      </c>
      <c r="J191" s="24" t="s">
        <v>221</v>
      </c>
      <c r="K191" s="24" t="s">
        <v>229</v>
      </c>
      <c r="L191" s="24" t="s">
        <v>221</v>
      </c>
      <c r="M191" s="24">
        <v>2</v>
      </c>
      <c r="N191" s="24" t="s">
        <v>75</v>
      </c>
      <c r="O191" s="24" t="s">
        <v>26</v>
      </c>
      <c r="P191" s="24" t="s">
        <v>249</v>
      </c>
      <c r="Q191" s="24" t="s">
        <v>289</v>
      </c>
      <c r="R191" s="24" t="s">
        <v>425</v>
      </c>
      <c r="S191" s="24" t="s">
        <v>492</v>
      </c>
      <c r="T191" s="24" t="s">
        <v>428</v>
      </c>
      <c r="U191" s="24" t="s">
        <v>113</v>
      </c>
    </row>
    <row r="192" spans="3:21" ht="21.9" customHeight="1" x14ac:dyDescent="0.3">
      <c r="C192" s="24">
        <v>352</v>
      </c>
      <c r="D192" s="45">
        <v>44078</v>
      </c>
      <c r="E192" s="24">
        <f t="shared" si="2"/>
        <v>9</v>
      </c>
      <c r="F192" s="46">
        <v>30</v>
      </c>
      <c r="G192" s="24" t="s">
        <v>78</v>
      </c>
      <c r="H192" s="24" t="s">
        <v>206</v>
      </c>
      <c r="I192" s="24" t="s">
        <v>207</v>
      </c>
      <c r="J192" s="24" t="s">
        <v>221</v>
      </c>
      <c r="K192" s="24" t="s">
        <v>229</v>
      </c>
      <c r="L192" s="24" t="s">
        <v>221</v>
      </c>
      <c r="M192" s="24">
        <v>1</v>
      </c>
      <c r="N192" s="24" t="s">
        <v>72</v>
      </c>
      <c r="O192" s="24" t="s">
        <v>250</v>
      </c>
      <c r="P192" s="24" t="s">
        <v>253</v>
      </c>
      <c r="Q192" s="24" t="s">
        <v>384</v>
      </c>
      <c r="R192" s="24" t="s">
        <v>425</v>
      </c>
      <c r="S192" s="24" t="s">
        <v>492</v>
      </c>
      <c r="T192" s="24" t="s">
        <v>428</v>
      </c>
      <c r="U192" s="24" t="s">
        <v>113</v>
      </c>
    </row>
    <row r="193" spans="3:21" ht="21.9" customHeight="1" x14ac:dyDescent="0.3">
      <c r="C193" s="24">
        <v>351</v>
      </c>
      <c r="D193" s="45">
        <v>44077</v>
      </c>
      <c r="E193" s="24">
        <f t="shared" si="2"/>
        <v>9</v>
      </c>
      <c r="F193" s="46">
        <v>4800</v>
      </c>
      <c r="G193" s="24" t="s">
        <v>121</v>
      </c>
      <c r="H193" s="24" t="s">
        <v>183</v>
      </c>
      <c r="I193" s="24" t="s">
        <v>207</v>
      </c>
      <c r="J193" s="24" t="s">
        <v>210</v>
      </c>
      <c r="K193" s="24" t="s">
        <v>184</v>
      </c>
      <c r="L193" s="24" t="s">
        <v>230</v>
      </c>
      <c r="M193" s="24">
        <v>3</v>
      </c>
      <c r="N193" s="24" t="s">
        <v>380</v>
      </c>
      <c r="O193" s="24" t="s">
        <v>381</v>
      </c>
      <c r="P193" s="24" t="s">
        <v>46</v>
      </c>
      <c r="Q193" s="24" t="s">
        <v>384</v>
      </c>
      <c r="R193" s="24" t="s">
        <v>431</v>
      </c>
      <c r="S193" s="24" t="s">
        <v>493</v>
      </c>
      <c r="T193" s="24" t="s">
        <v>434</v>
      </c>
      <c r="U193" s="24" t="s">
        <v>113</v>
      </c>
    </row>
    <row r="194" spans="3:21" ht="21.9" customHeight="1" x14ac:dyDescent="0.3">
      <c r="C194" s="24">
        <v>350</v>
      </c>
      <c r="D194" s="45">
        <v>44076</v>
      </c>
      <c r="E194" s="24">
        <f t="shared" si="2"/>
        <v>9</v>
      </c>
      <c r="F194" s="46">
        <v>5600</v>
      </c>
      <c r="G194" s="24" t="s">
        <v>120</v>
      </c>
      <c r="H194" s="24" t="s">
        <v>185</v>
      </c>
      <c r="I194" s="24" t="s">
        <v>207</v>
      </c>
      <c r="J194" s="24" t="s">
        <v>210</v>
      </c>
      <c r="K194" s="24" t="s">
        <v>184</v>
      </c>
      <c r="L194" s="24" t="s">
        <v>230</v>
      </c>
      <c r="M194" s="24">
        <v>2</v>
      </c>
      <c r="N194" s="24" t="s">
        <v>74</v>
      </c>
      <c r="O194" s="24" t="s">
        <v>270</v>
      </c>
      <c r="P194" s="24" t="s">
        <v>260</v>
      </c>
      <c r="Q194" s="24" t="s">
        <v>288</v>
      </c>
      <c r="R194" s="24" t="s">
        <v>50</v>
      </c>
      <c r="S194" s="24" t="s">
        <v>291</v>
      </c>
      <c r="T194" s="24" t="s">
        <v>46</v>
      </c>
      <c r="U194" s="24" t="s">
        <v>294</v>
      </c>
    </row>
    <row r="195" spans="3:21" ht="21.9" customHeight="1" x14ac:dyDescent="0.3">
      <c r="C195" s="24">
        <v>349</v>
      </c>
      <c r="D195" s="45">
        <v>44075</v>
      </c>
      <c r="E195" s="24">
        <f t="shared" si="2"/>
        <v>9</v>
      </c>
      <c r="F195" s="46">
        <v>160</v>
      </c>
      <c r="G195" s="24" t="s">
        <v>97</v>
      </c>
      <c r="H195" s="24" t="s">
        <v>189</v>
      </c>
      <c r="I195" s="24" t="s">
        <v>207</v>
      </c>
      <c r="J195" s="24" t="s">
        <v>211</v>
      </c>
      <c r="K195" s="24" t="s">
        <v>227</v>
      </c>
      <c r="L195" s="24" t="s">
        <v>186</v>
      </c>
      <c r="M195" s="24">
        <v>2</v>
      </c>
      <c r="N195" s="24" t="s">
        <v>73</v>
      </c>
      <c r="O195" s="24" t="s">
        <v>268</v>
      </c>
      <c r="P195" s="24" t="s">
        <v>262</v>
      </c>
      <c r="Q195" s="24" t="s">
        <v>288</v>
      </c>
      <c r="R195" s="24" t="s">
        <v>437</v>
      </c>
      <c r="S195" s="24" t="s">
        <v>494</v>
      </c>
      <c r="T195" s="24" t="s">
        <v>262</v>
      </c>
      <c r="U195" s="24" t="s">
        <v>113</v>
      </c>
    </row>
    <row r="196" spans="3:21" ht="21.9" customHeight="1" x14ac:dyDescent="0.3">
      <c r="C196" s="24">
        <v>348</v>
      </c>
      <c r="D196" s="45">
        <v>44093</v>
      </c>
      <c r="E196" s="24">
        <f t="shared" si="2"/>
        <v>9</v>
      </c>
      <c r="F196" s="46">
        <v>60</v>
      </c>
      <c r="G196" s="24" t="s">
        <v>96</v>
      </c>
      <c r="H196" s="24" t="s">
        <v>190</v>
      </c>
      <c r="I196" s="24" t="s">
        <v>208</v>
      </c>
      <c r="J196" s="24" t="s">
        <v>212</v>
      </c>
      <c r="K196" s="24" t="s">
        <v>227</v>
      </c>
      <c r="L196" s="24" t="s">
        <v>223</v>
      </c>
      <c r="M196" s="24">
        <v>1</v>
      </c>
      <c r="N196" s="24" t="s">
        <v>76</v>
      </c>
      <c r="O196" s="24" t="s">
        <v>272</v>
      </c>
      <c r="P196" s="24" t="s">
        <v>245</v>
      </c>
      <c r="Q196" s="24" t="s">
        <v>288</v>
      </c>
      <c r="R196" s="24" t="s">
        <v>345</v>
      </c>
      <c r="S196" s="24" t="s">
        <v>330</v>
      </c>
      <c r="T196" s="24" t="s">
        <v>44</v>
      </c>
      <c r="U196" s="24" t="s">
        <v>113</v>
      </c>
    </row>
    <row r="197" spans="3:21" ht="21.9" customHeight="1" x14ac:dyDescent="0.3">
      <c r="C197" s="24">
        <v>347</v>
      </c>
      <c r="D197" s="45">
        <v>44092</v>
      </c>
      <c r="E197" s="24">
        <f t="shared" si="2"/>
        <v>9</v>
      </c>
      <c r="F197" s="46">
        <v>300</v>
      </c>
      <c r="G197" s="24" t="s">
        <v>95</v>
      </c>
      <c r="H197" s="24" t="s">
        <v>191</v>
      </c>
      <c r="I197" s="24" t="s">
        <v>207</v>
      </c>
      <c r="J197" s="24" t="s">
        <v>222</v>
      </c>
      <c r="K197" s="24" t="s">
        <v>226</v>
      </c>
      <c r="L197" s="24" t="s">
        <v>231</v>
      </c>
      <c r="M197" s="24">
        <v>3</v>
      </c>
      <c r="N197" s="24" t="s">
        <v>72</v>
      </c>
      <c r="O197" s="24" t="s">
        <v>250</v>
      </c>
      <c r="P197" s="24" t="s">
        <v>253</v>
      </c>
      <c r="Q197" s="24" t="s">
        <v>384</v>
      </c>
      <c r="R197" s="24" t="s">
        <v>344</v>
      </c>
      <c r="S197" s="24" t="s">
        <v>328</v>
      </c>
      <c r="T197" s="24" t="s">
        <v>46</v>
      </c>
      <c r="U197" s="24" t="s">
        <v>115</v>
      </c>
    </row>
    <row r="198" spans="3:21" ht="21.9" customHeight="1" x14ac:dyDescent="0.3">
      <c r="C198" s="24">
        <v>346</v>
      </c>
      <c r="D198" s="45">
        <v>44091</v>
      </c>
      <c r="E198" s="24">
        <f t="shared" si="2"/>
        <v>9</v>
      </c>
      <c r="F198" s="46">
        <v>900</v>
      </c>
      <c r="G198" s="24" t="s">
        <v>94</v>
      </c>
      <c r="H198" s="24" t="s">
        <v>192</v>
      </c>
      <c r="I198" s="24" t="s">
        <v>207</v>
      </c>
      <c r="J198" s="24" t="s">
        <v>216</v>
      </c>
      <c r="K198" s="24" t="s">
        <v>187</v>
      </c>
      <c r="L198" s="24" t="s">
        <v>232</v>
      </c>
      <c r="M198" s="24">
        <v>3</v>
      </c>
      <c r="N198" s="24" t="s">
        <v>51</v>
      </c>
      <c r="O198" s="24" t="s">
        <v>269</v>
      </c>
      <c r="P198" s="24" t="s">
        <v>262</v>
      </c>
      <c r="Q198" s="24" t="s">
        <v>288</v>
      </c>
      <c r="R198" s="24" t="s">
        <v>290</v>
      </c>
      <c r="S198" s="24" t="s">
        <v>296</v>
      </c>
      <c r="T198" s="24" t="s">
        <v>45</v>
      </c>
      <c r="U198" s="24" t="s">
        <v>113</v>
      </c>
    </row>
    <row r="199" spans="3:21" ht="21.9" customHeight="1" x14ac:dyDescent="0.3">
      <c r="C199" s="24">
        <v>345</v>
      </c>
      <c r="D199" s="45">
        <v>44090</v>
      </c>
      <c r="E199" s="24">
        <f t="shared" si="2"/>
        <v>9</v>
      </c>
      <c r="F199" s="46">
        <v>350</v>
      </c>
      <c r="G199" s="24" t="s">
        <v>93</v>
      </c>
      <c r="H199" s="24" t="s">
        <v>193</v>
      </c>
      <c r="I199" s="24" t="s">
        <v>208</v>
      </c>
      <c r="J199" s="24" t="s">
        <v>218</v>
      </c>
      <c r="K199" s="24" t="s">
        <v>187</v>
      </c>
      <c r="L199" s="24" t="s">
        <v>186</v>
      </c>
      <c r="M199" s="24">
        <v>1</v>
      </c>
      <c r="N199" s="24" t="s">
        <v>51</v>
      </c>
      <c r="O199" s="24" t="s">
        <v>269</v>
      </c>
      <c r="P199" s="24" t="s">
        <v>262</v>
      </c>
      <c r="Q199" s="24" t="s">
        <v>288</v>
      </c>
      <c r="R199" s="24" t="s">
        <v>419</v>
      </c>
      <c r="S199" s="24" t="s">
        <v>491</v>
      </c>
      <c r="T199" s="24" t="s">
        <v>422</v>
      </c>
      <c r="U199" s="24" t="s">
        <v>113</v>
      </c>
    </row>
    <row r="200" spans="3:21" ht="21.9" customHeight="1" x14ac:dyDescent="0.3">
      <c r="C200" s="24">
        <v>344</v>
      </c>
      <c r="D200" s="45">
        <v>44089</v>
      </c>
      <c r="E200" s="24">
        <f t="shared" si="2"/>
        <v>9</v>
      </c>
      <c r="F200" s="46">
        <v>810</v>
      </c>
      <c r="G200" s="24" t="s">
        <v>92</v>
      </c>
      <c r="H200" s="24" t="s">
        <v>225</v>
      </c>
      <c r="I200" s="24" t="s">
        <v>207</v>
      </c>
      <c r="J200" s="24" t="s">
        <v>219</v>
      </c>
      <c r="K200" s="24" t="s">
        <v>226</v>
      </c>
      <c r="L200" s="24" t="s">
        <v>186</v>
      </c>
      <c r="M200" s="24">
        <v>3</v>
      </c>
      <c r="N200" s="24" t="s">
        <v>380</v>
      </c>
      <c r="O200" s="24" t="s">
        <v>381</v>
      </c>
      <c r="P200" s="24" t="s">
        <v>46</v>
      </c>
      <c r="Q200" s="24" t="s">
        <v>384</v>
      </c>
      <c r="R200" s="24" t="s">
        <v>346</v>
      </c>
      <c r="S200" s="24" t="s">
        <v>333</v>
      </c>
      <c r="T200" s="24" t="s">
        <v>47</v>
      </c>
      <c r="U200" s="24" t="s">
        <v>114</v>
      </c>
    </row>
    <row r="201" spans="3:21" ht="21.9" customHeight="1" x14ac:dyDescent="0.3">
      <c r="C201" s="24">
        <v>343</v>
      </c>
      <c r="D201" s="45">
        <v>44088</v>
      </c>
      <c r="E201" s="24">
        <f t="shared" si="2"/>
        <v>9</v>
      </c>
      <c r="F201" s="46">
        <v>1500</v>
      </c>
      <c r="G201" s="24" t="s">
        <v>91</v>
      </c>
      <c r="H201" s="24" t="s">
        <v>194</v>
      </c>
      <c r="I201" s="24" t="s">
        <v>209</v>
      </c>
      <c r="J201" s="24" t="s">
        <v>219</v>
      </c>
      <c r="K201" s="24" t="s">
        <v>187</v>
      </c>
      <c r="L201" s="24" t="s">
        <v>186</v>
      </c>
      <c r="M201" s="24">
        <v>3</v>
      </c>
      <c r="N201" s="24" t="s">
        <v>72</v>
      </c>
      <c r="O201" s="24" t="s">
        <v>250</v>
      </c>
      <c r="P201" s="24" t="s">
        <v>253</v>
      </c>
      <c r="Q201" s="24" t="s">
        <v>384</v>
      </c>
      <c r="R201" s="24" t="s">
        <v>454</v>
      </c>
      <c r="S201" s="24" t="s">
        <v>497</v>
      </c>
      <c r="T201" s="24" t="s">
        <v>253</v>
      </c>
      <c r="U201" s="24" t="s">
        <v>113</v>
      </c>
    </row>
    <row r="202" spans="3:21" ht="21.9" customHeight="1" x14ac:dyDescent="0.3">
      <c r="C202" s="24">
        <v>342</v>
      </c>
      <c r="D202" s="45">
        <v>44087</v>
      </c>
      <c r="E202" s="24">
        <f t="shared" si="2"/>
        <v>9</v>
      </c>
      <c r="F202" s="46">
        <v>2700</v>
      </c>
      <c r="G202" s="24" t="s">
        <v>90</v>
      </c>
      <c r="H202" s="24" t="s">
        <v>188</v>
      </c>
      <c r="I202" s="24" t="s">
        <v>209</v>
      </c>
      <c r="J202" s="24" t="s">
        <v>220</v>
      </c>
      <c r="K202" s="24" t="s">
        <v>187</v>
      </c>
      <c r="L202" s="24" t="s">
        <v>220</v>
      </c>
      <c r="M202" s="24">
        <v>3</v>
      </c>
      <c r="N202" s="24" t="s">
        <v>74</v>
      </c>
      <c r="O202" s="24" t="s">
        <v>270</v>
      </c>
      <c r="P202" s="24" t="s">
        <v>260</v>
      </c>
      <c r="Q202" s="24" t="s">
        <v>288</v>
      </c>
      <c r="R202" s="24" t="s">
        <v>481</v>
      </c>
      <c r="S202" s="24" t="s">
        <v>501</v>
      </c>
      <c r="T202" s="24" t="s">
        <v>49</v>
      </c>
      <c r="U202" s="24" t="s">
        <v>115</v>
      </c>
    </row>
    <row r="203" spans="3:21" ht="21.9" customHeight="1" x14ac:dyDescent="0.3">
      <c r="C203" s="24">
        <v>341</v>
      </c>
      <c r="D203" s="45">
        <v>44086</v>
      </c>
      <c r="E203" s="24">
        <f t="shared" si="2"/>
        <v>9</v>
      </c>
      <c r="F203" s="46">
        <v>60</v>
      </c>
      <c r="G203" s="24" t="s">
        <v>89</v>
      </c>
      <c r="H203" s="24" t="s">
        <v>195</v>
      </c>
      <c r="I203" s="24" t="s">
        <v>207</v>
      </c>
      <c r="J203" s="24" t="s">
        <v>223</v>
      </c>
      <c r="K203" s="24" t="s">
        <v>226</v>
      </c>
      <c r="L203" s="24" t="s">
        <v>220</v>
      </c>
      <c r="M203" s="24">
        <v>1</v>
      </c>
      <c r="N203" s="24" t="s">
        <v>73</v>
      </c>
      <c r="O203" s="24" t="s">
        <v>268</v>
      </c>
      <c r="P203" s="24" t="s">
        <v>262</v>
      </c>
      <c r="Q203" s="24" t="s">
        <v>288</v>
      </c>
      <c r="R203" s="24" t="s">
        <v>62</v>
      </c>
      <c r="S203" s="24" t="s">
        <v>34</v>
      </c>
      <c r="T203" s="24" t="s">
        <v>47</v>
      </c>
      <c r="U203" s="24" t="s">
        <v>115</v>
      </c>
    </row>
    <row r="204" spans="3:21" ht="21.9" customHeight="1" x14ac:dyDescent="0.3">
      <c r="C204" s="24">
        <v>340</v>
      </c>
      <c r="D204" s="45">
        <v>44085</v>
      </c>
      <c r="E204" s="24">
        <f t="shared" si="2"/>
        <v>9</v>
      </c>
      <c r="F204" s="46">
        <v>210</v>
      </c>
      <c r="G204" s="24" t="s">
        <v>88</v>
      </c>
      <c r="H204" s="24" t="s">
        <v>196</v>
      </c>
      <c r="I204" s="24" t="s">
        <v>208</v>
      </c>
      <c r="J204" s="24" t="s">
        <v>216</v>
      </c>
      <c r="K204" s="24" t="s">
        <v>226</v>
      </c>
      <c r="L204" s="24" t="s">
        <v>230</v>
      </c>
      <c r="M204" s="24">
        <v>3</v>
      </c>
      <c r="N204" s="24" t="s">
        <v>51</v>
      </c>
      <c r="O204" s="24" t="s">
        <v>269</v>
      </c>
      <c r="P204" s="24" t="s">
        <v>262</v>
      </c>
      <c r="Q204" s="24" t="s">
        <v>288</v>
      </c>
      <c r="R204" s="24" t="s">
        <v>404</v>
      </c>
      <c r="S204" s="24" t="s">
        <v>488</v>
      </c>
      <c r="T204" s="24" t="s">
        <v>241</v>
      </c>
      <c r="U204" s="24" t="s">
        <v>518</v>
      </c>
    </row>
    <row r="205" spans="3:21" ht="21.9" customHeight="1" x14ac:dyDescent="0.3">
      <c r="C205" s="24">
        <v>339</v>
      </c>
      <c r="D205" s="45">
        <v>44084</v>
      </c>
      <c r="E205" s="24">
        <f t="shared" si="2"/>
        <v>9</v>
      </c>
      <c r="F205" s="46">
        <v>76</v>
      </c>
      <c r="G205" s="24" t="s">
        <v>87</v>
      </c>
      <c r="H205" s="24" t="s">
        <v>197</v>
      </c>
      <c r="I205" s="24" t="s">
        <v>208</v>
      </c>
      <c r="J205" s="24" t="s">
        <v>222</v>
      </c>
      <c r="K205" s="24" t="s">
        <v>226</v>
      </c>
      <c r="L205" s="24" t="s">
        <v>230</v>
      </c>
      <c r="M205" s="24">
        <v>1</v>
      </c>
      <c r="N205" s="24" t="s">
        <v>75</v>
      </c>
      <c r="O205" s="24" t="s">
        <v>26</v>
      </c>
      <c r="P205" s="24" t="s">
        <v>249</v>
      </c>
      <c r="Q205" s="24" t="s">
        <v>289</v>
      </c>
      <c r="R205" s="24" t="s">
        <v>431</v>
      </c>
      <c r="S205" s="24" t="s">
        <v>493</v>
      </c>
      <c r="T205" s="24" t="s">
        <v>434</v>
      </c>
      <c r="U205" s="24" t="s">
        <v>113</v>
      </c>
    </row>
    <row r="206" spans="3:21" ht="21.9" customHeight="1" x14ac:dyDescent="0.3">
      <c r="C206" s="24">
        <v>338</v>
      </c>
      <c r="D206" s="45">
        <v>44083</v>
      </c>
      <c r="E206" s="24">
        <f t="shared" si="2"/>
        <v>9</v>
      </c>
      <c r="F206" s="46">
        <v>1800</v>
      </c>
      <c r="G206" s="24" t="s">
        <v>86</v>
      </c>
      <c r="H206" s="24" t="s">
        <v>198</v>
      </c>
      <c r="I206" s="24" t="s">
        <v>207</v>
      </c>
      <c r="J206" s="24" t="s">
        <v>224</v>
      </c>
      <c r="K206" s="24" t="s">
        <v>228</v>
      </c>
      <c r="L206" s="24" t="s">
        <v>230</v>
      </c>
      <c r="M206" s="24">
        <v>3</v>
      </c>
      <c r="N206" s="24" t="s">
        <v>72</v>
      </c>
      <c r="O206" s="24" t="s">
        <v>250</v>
      </c>
      <c r="P206" s="24" t="s">
        <v>253</v>
      </c>
      <c r="Q206" s="24" t="s">
        <v>384</v>
      </c>
      <c r="R206" s="24" t="s">
        <v>414</v>
      </c>
      <c r="S206" s="24" t="s">
        <v>490</v>
      </c>
      <c r="T206" s="24" t="s">
        <v>46</v>
      </c>
      <c r="U206" s="24" t="s">
        <v>113</v>
      </c>
    </row>
    <row r="207" spans="3:21" ht="21.9" customHeight="1" x14ac:dyDescent="0.3">
      <c r="C207" s="24">
        <v>337</v>
      </c>
      <c r="D207" s="45">
        <v>44082</v>
      </c>
      <c r="E207" s="24">
        <f t="shared" si="2"/>
        <v>9</v>
      </c>
      <c r="F207" s="46">
        <v>340</v>
      </c>
      <c r="G207" s="24" t="s">
        <v>85</v>
      </c>
      <c r="H207" s="24" t="s">
        <v>199</v>
      </c>
      <c r="I207" s="24" t="s">
        <v>209</v>
      </c>
      <c r="J207" s="24" t="s">
        <v>216</v>
      </c>
      <c r="K207" s="24" t="s">
        <v>228</v>
      </c>
      <c r="L207" s="24" t="s">
        <v>221</v>
      </c>
      <c r="M207" s="24">
        <v>2</v>
      </c>
      <c r="N207" s="24" t="s">
        <v>72</v>
      </c>
      <c r="O207" s="24" t="s">
        <v>250</v>
      </c>
      <c r="P207" s="24" t="s">
        <v>253</v>
      </c>
      <c r="Q207" s="24" t="s">
        <v>384</v>
      </c>
      <c r="R207" s="24" t="s">
        <v>339</v>
      </c>
      <c r="S207" s="24" t="s">
        <v>314</v>
      </c>
      <c r="T207" s="24" t="s">
        <v>44</v>
      </c>
      <c r="U207" s="24" t="s">
        <v>113</v>
      </c>
    </row>
    <row r="208" spans="3:21" ht="21.9" customHeight="1" x14ac:dyDescent="0.3">
      <c r="C208" s="24">
        <v>336</v>
      </c>
      <c r="D208" s="45">
        <v>44081</v>
      </c>
      <c r="E208" s="24">
        <f t="shared" si="2"/>
        <v>9</v>
      </c>
      <c r="F208" s="46">
        <v>800</v>
      </c>
      <c r="G208" s="24" t="s">
        <v>84</v>
      </c>
      <c r="H208" s="24" t="s">
        <v>200</v>
      </c>
      <c r="I208" s="24" t="s">
        <v>208</v>
      </c>
      <c r="J208" s="24" t="s">
        <v>222</v>
      </c>
      <c r="K208" s="24" t="s">
        <v>228</v>
      </c>
      <c r="L208" s="24" t="s">
        <v>220</v>
      </c>
      <c r="M208" s="24">
        <v>2</v>
      </c>
      <c r="N208" s="24" t="s">
        <v>380</v>
      </c>
      <c r="O208" s="24" t="s">
        <v>381</v>
      </c>
      <c r="P208" s="24" t="s">
        <v>46</v>
      </c>
      <c r="Q208" s="24" t="s">
        <v>384</v>
      </c>
      <c r="R208" s="24" t="s">
        <v>52</v>
      </c>
      <c r="S208" s="24" t="s">
        <v>24</v>
      </c>
      <c r="T208" s="24" t="s">
        <v>44</v>
      </c>
      <c r="U208" s="24" t="s">
        <v>113</v>
      </c>
    </row>
    <row r="209" spans="3:21" ht="21.9" customHeight="1" x14ac:dyDescent="0.3">
      <c r="C209" s="24">
        <v>335</v>
      </c>
      <c r="D209" s="45">
        <v>44080</v>
      </c>
      <c r="E209" s="24">
        <f t="shared" si="2"/>
        <v>9</v>
      </c>
      <c r="F209" s="46">
        <v>1600</v>
      </c>
      <c r="G209" s="24" t="s">
        <v>83</v>
      </c>
      <c r="H209" s="24" t="s">
        <v>201</v>
      </c>
      <c r="I209" s="24" t="s">
        <v>208</v>
      </c>
      <c r="J209" s="24" t="s">
        <v>222</v>
      </c>
      <c r="K209" s="24" t="s">
        <v>226</v>
      </c>
      <c r="L209" s="24" t="s">
        <v>230</v>
      </c>
      <c r="M209" s="24">
        <v>2</v>
      </c>
      <c r="N209" s="24" t="s">
        <v>73</v>
      </c>
      <c r="O209" s="24" t="s">
        <v>268</v>
      </c>
      <c r="P209" s="24" t="s">
        <v>262</v>
      </c>
      <c r="Q209" s="24" t="s">
        <v>288</v>
      </c>
      <c r="R209" s="24" t="s">
        <v>341</v>
      </c>
      <c r="S209" s="24" t="s">
        <v>320</v>
      </c>
      <c r="T209" s="24" t="s">
        <v>49</v>
      </c>
      <c r="U209" s="24" t="s">
        <v>113</v>
      </c>
    </row>
    <row r="210" spans="3:21" ht="21.9" customHeight="1" x14ac:dyDescent="0.3">
      <c r="C210" s="24">
        <v>334</v>
      </c>
      <c r="D210" s="45">
        <v>44079</v>
      </c>
      <c r="E210" s="24">
        <f t="shared" si="2"/>
        <v>9</v>
      </c>
      <c r="F210" s="46">
        <v>1200</v>
      </c>
      <c r="G210" s="24" t="s">
        <v>82</v>
      </c>
      <c r="H210" s="24" t="s">
        <v>202</v>
      </c>
      <c r="I210" s="24" t="s">
        <v>207</v>
      </c>
      <c r="J210" s="24" t="s">
        <v>222</v>
      </c>
      <c r="K210" s="24" t="s">
        <v>226</v>
      </c>
      <c r="L210" s="24" t="s">
        <v>230</v>
      </c>
      <c r="M210" s="24">
        <v>3</v>
      </c>
      <c r="N210" s="24" t="s">
        <v>72</v>
      </c>
      <c r="O210" s="24" t="s">
        <v>250</v>
      </c>
      <c r="P210" s="24" t="s">
        <v>253</v>
      </c>
      <c r="Q210" s="24" t="s">
        <v>384</v>
      </c>
      <c r="R210" s="24" t="s">
        <v>419</v>
      </c>
      <c r="S210" s="24" t="s">
        <v>491</v>
      </c>
      <c r="T210" s="24" t="s">
        <v>422</v>
      </c>
      <c r="U210" s="24" t="s">
        <v>113</v>
      </c>
    </row>
    <row r="211" spans="3:21" ht="21.9" customHeight="1" x14ac:dyDescent="0.3">
      <c r="C211" s="24">
        <v>333</v>
      </c>
      <c r="D211" s="45">
        <v>44078</v>
      </c>
      <c r="E211" s="24">
        <f t="shared" si="2"/>
        <v>9</v>
      </c>
      <c r="F211" s="46">
        <v>500</v>
      </c>
      <c r="G211" s="24" t="s">
        <v>81</v>
      </c>
      <c r="H211" s="24" t="s">
        <v>203</v>
      </c>
      <c r="I211" s="24" t="s">
        <v>207</v>
      </c>
      <c r="J211" s="24" t="s">
        <v>223</v>
      </c>
      <c r="K211" s="24" t="s">
        <v>226</v>
      </c>
      <c r="L211" s="24" t="s">
        <v>230</v>
      </c>
      <c r="M211" s="24">
        <v>2</v>
      </c>
      <c r="N211" s="24" t="s">
        <v>77</v>
      </c>
      <c r="O211" s="24" t="s">
        <v>273</v>
      </c>
      <c r="P211" s="24" t="s">
        <v>241</v>
      </c>
      <c r="Q211" s="24" t="s">
        <v>287</v>
      </c>
      <c r="R211" s="24" t="s">
        <v>470</v>
      </c>
      <c r="S211" s="24" t="s">
        <v>500</v>
      </c>
      <c r="T211" s="24" t="s">
        <v>473</v>
      </c>
      <c r="U211" s="24" t="s">
        <v>113</v>
      </c>
    </row>
    <row r="212" spans="3:21" ht="21.9" customHeight="1" x14ac:dyDescent="0.3">
      <c r="C212" s="24">
        <v>332</v>
      </c>
      <c r="D212" s="45">
        <v>44077</v>
      </c>
      <c r="E212" s="24">
        <f t="shared" si="2"/>
        <v>9</v>
      </c>
      <c r="F212" s="46">
        <v>80</v>
      </c>
      <c r="G212" s="24" t="s">
        <v>80</v>
      </c>
      <c r="H212" s="24" t="s">
        <v>204</v>
      </c>
      <c r="I212" s="24" t="s">
        <v>207</v>
      </c>
      <c r="J212" s="24" t="s">
        <v>221</v>
      </c>
      <c r="K212" s="24" t="s">
        <v>229</v>
      </c>
      <c r="L212" s="24" t="s">
        <v>221</v>
      </c>
      <c r="M212" s="24">
        <v>2</v>
      </c>
      <c r="N212" s="24" t="s">
        <v>77</v>
      </c>
      <c r="O212" s="24" t="s">
        <v>273</v>
      </c>
      <c r="P212" s="24" t="s">
        <v>241</v>
      </c>
      <c r="Q212" s="24" t="s">
        <v>287</v>
      </c>
      <c r="R212" s="24" t="s">
        <v>70</v>
      </c>
      <c r="S212" s="24" t="s">
        <v>42</v>
      </c>
      <c r="T212" s="24" t="s">
        <v>47</v>
      </c>
      <c r="U212" s="24" t="s">
        <v>114</v>
      </c>
    </row>
    <row r="213" spans="3:21" ht="21.9" customHeight="1" x14ac:dyDescent="0.3">
      <c r="C213" s="24">
        <v>331</v>
      </c>
      <c r="D213" s="45">
        <v>44076</v>
      </c>
      <c r="E213" s="24">
        <f t="shared" si="2"/>
        <v>9</v>
      </c>
      <c r="F213" s="46">
        <v>70</v>
      </c>
      <c r="G213" s="24" t="s">
        <v>79</v>
      </c>
      <c r="H213" s="24" t="s">
        <v>205</v>
      </c>
      <c r="I213" s="24" t="s">
        <v>207</v>
      </c>
      <c r="J213" s="24" t="s">
        <v>221</v>
      </c>
      <c r="K213" s="24" t="s">
        <v>229</v>
      </c>
      <c r="L213" s="24" t="s">
        <v>221</v>
      </c>
      <c r="M213" s="24">
        <v>2</v>
      </c>
      <c r="N213" s="24" t="s">
        <v>74</v>
      </c>
      <c r="O213" s="24" t="s">
        <v>270</v>
      </c>
      <c r="P213" s="24" t="s">
        <v>260</v>
      </c>
      <c r="Q213" s="24" t="s">
        <v>288</v>
      </c>
      <c r="R213" s="24" t="s">
        <v>62</v>
      </c>
      <c r="S213" s="24" t="s">
        <v>34</v>
      </c>
      <c r="T213" s="24" t="s">
        <v>47</v>
      </c>
      <c r="U213" s="24" t="s">
        <v>115</v>
      </c>
    </row>
    <row r="214" spans="3:21" ht="21.9" customHeight="1" x14ac:dyDescent="0.3">
      <c r="C214" s="24">
        <v>330</v>
      </c>
      <c r="D214" s="45">
        <v>44075</v>
      </c>
      <c r="E214" s="24">
        <f t="shared" si="2"/>
        <v>9</v>
      </c>
      <c r="F214" s="46">
        <v>60</v>
      </c>
      <c r="G214" s="24" t="s">
        <v>78</v>
      </c>
      <c r="H214" s="24" t="s">
        <v>206</v>
      </c>
      <c r="I214" s="24" t="s">
        <v>207</v>
      </c>
      <c r="J214" s="24" t="s">
        <v>221</v>
      </c>
      <c r="K214" s="24" t="s">
        <v>229</v>
      </c>
      <c r="L214" s="24" t="s">
        <v>221</v>
      </c>
      <c r="M214" s="24">
        <v>2</v>
      </c>
      <c r="N214" s="24" t="s">
        <v>74</v>
      </c>
      <c r="O214" s="24" t="s">
        <v>270</v>
      </c>
      <c r="P214" s="24" t="s">
        <v>260</v>
      </c>
      <c r="Q214" s="24" t="s">
        <v>288</v>
      </c>
      <c r="R214" s="24" t="s">
        <v>57</v>
      </c>
      <c r="S214" s="24" t="s">
        <v>29</v>
      </c>
      <c r="T214" s="24" t="s">
        <v>49</v>
      </c>
      <c r="U214" s="24" t="s">
        <v>113</v>
      </c>
    </row>
    <row r="215" spans="3:21" ht="21.9" customHeight="1" x14ac:dyDescent="0.3">
      <c r="C215" s="24">
        <v>329</v>
      </c>
      <c r="D215" s="45">
        <v>44048</v>
      </c>
      <c r="E215" s="24">
        <f t="shared" si="2"/>
        <v>8</v>
      </c>
      <c r="F215" s="46">
        <v>80</v>
      </c>
      <c r="G215" s="24" t="s">
        <v>97</v>
      </c>
      <c r="H215" s="24" t="s">
        <v>189</v>
      </c>
      <c r="I215" s="24" t="s">
        <v>207</v>
      </c>
      <c r="J215" s="24" t="s">
        <v>211</v>
      </c>
      <c r="K215" s="24" t="s">
        <v>227</v>
      </c>
      <c r="L215" s="24" t="s">
        <v>186</v>
      </c>
      <c r="M215" s="24">
        <v>1</v>
      </c>
      <c r="N215" s="24" t="s">
        <v>75</v>
      </c>
      <c r="O215" s="24" t="s">
        <v>26</v>
      </c>
      <c r="P215" s="24" t="s">
        <v>249</v>
      </c>
      <c r="Q215" s="24" t="s">
        <v>289</v>
      </c>
      <c r="R215" s="24" t="s">
        <v>341</v>
      </c>
      <c r="S215" s="24" t="s">
        <v>320</v>
      </c>
      <c r="T215" s="24" t="s">
        <v>49</v>
      </c>
      <c r="U215" s="24" t="s">
        <v>113</v>
      </c>
    </row>
    <row r="216" spans="3:21" ht="21.9" customHeight="1" x14ac:dyDescent="0.3">
      <c r="C216" s="24">
        <v>328</v>
      </c>
      <c r="D216" s="45">
        <v>44047</v>
      </c>
      <c r="E216" s="24">
        <f t="shared" si="2"/>
        <v>8</v>
      </c>
      <c r="F216" s="46">
        <v>180</v>
      </c>
      <c r="G216" s="24" t="s">
        <v>96</v>
      </c>
      <c r="H216" s="24" t="s">
        <v>190</v>
      </c>
      <c r="I216" s="24" t="s">
        <v>208</v>
      </c>
      <c r="J216" s="24" t="s">
        <v>212</v>
      </c>
      <c r="K216" s="24" t="s">
        <v>227</v>
      </c>
      <c r="L216" s="24" t="s">
        <v>223</v>
      </c>
      <c r="M216" s="24">
        <v>3</v>
      </c>
      <c r="N216" s="24" t="s">
        <v>74</v>
      </c>
      <c r="O216" s="24" t="s">
        <v>270</v>
      </c>
      <c r="P216" s="24" t="s">
        <v>260</v>
      </c>
      <c r="Q216" s="24" t="s">
        <v>288</v>
      </c>
      <c r="R216" s="24" t="s">
        <v>290</v>
      </c>
      <c r="S216" s="24" t="s">
        <v>296</v>
      </c>
      <c r="T216" s="24" t="s">
        <v>45</v>
      </c>
      <c r="U216" s="24" t="s">
        <v>113</v>
      </c>
    </row>
    <row r="217" spans="3:21" ht="21.9" customHeight="1" x14ac:dyDescent="0.3">
      <c r="C217" s="24">
        <v>327</v>
      </c>
      <c r="D217" s="45">
        <v>44046</v>
      </c>
      <c r="E217" s="24">
        <f t="shared" si="2"/>
        <v>8</v>
      </c>
      <c r="F217" s="46">
        <v>100</v>
      </c>
      <c r="G217" s="24" t="s">
        <v>95</v>
      </c>
      <c r="H217" s="24" t="s">
        <v>191</v>
      </c>
      <c r="I217" s="24" t="s">
        <v>207</v>
      </c>
      <c r="J217" s="24" t="s">
        <v>222</v>
      </c>
      <c r="K217" s="24" t="s">
        <v>226</v>
      </c>
      <c r="L217" s="24" t="s">
        <v>231</v>
      </c>
      <c r="M217" s="24">
        <v>1</v>
      </c>
      <c r="N217" s="24" t="s">
        <v>380</v>
      </c>
      <c r="O217" s="24" t="s">
        <v>381</v>
      </c>
      <c r="P217" s="24" t="s">
        <v>46</v>
      </c>
      <c r="Q217" s="24" t="s">
        <v>384</v>
      </c>
      <c r="R217" s="24" t="s">
        <v>54</v>
      </c>
      <c r="S217" s="24" t="s">
        <v>26</v>
      </c>
      <c r="T217" s="24" t="s">
        <v>46</v>
      </c>
      <c r="U217" s="24" t="s">
        <v>114</v>
      </c>
    </row>
    <row r="218" spans="3:21" ht="21.9" customHeight="1" x14ac:dyDescent="0.3">
      <c r="C218" s="24">
        <v>326</v>
      </c>
      <c r="D218" s="45">
        <v>44045</v>
      </c>
      <c r="E218" s="24">
        <f t="shared" si="2"/>
        <v>8</v>
      </c>
      <c r="F218" s="46">
        <v>900</v>
      </c>
      <c r="G218" s="24" t="s">
        <v>94</v>
      </c>
      <c r="H218" s="24" t="s">
        <v>192</v>
      </c>
      <c r="I218" s="24" t="s">
        <v>207</v>
      </c>
      <c r="J218" s="24" t="s">
        <v>216</v>
      </c>
      <c r="K218" s="24" t="s">
        <v>187</v>
      </c>
      <c r="L218" s="24" t="s">
        <v>232</v>
      </c>
      <c r="M218" s="24">
        <v>3</v>
      </c>
      <c r="N218" s="24" t="s">
        <v>75</v>
      </c>
      <c r="O218" s="24" t="s">
        <v>26</v>
      </c>
      <c r="P218" s="24" t="s">
        <v>249</v>
      </c>
      <c r="Q218" s="24" t="s">
        <v>289</v>
      </c>
      <c r="R218" s="24" t="s">
        <v>454</v>
      </c>
      <c r="S218" s="24" t="s">
        <v>497</v>
      </c>
      <c r="T218" s="24" t="s">
        <v>253</v>
      </c>
      <c r="U218" s="24" t="s">
        <v>113</v>
      </c>
    </row>
    <row r="219" spans="3:21" ht="21.9" customHeight="1" x14ac:dyDescent="0.3">
      <c r="C219" s="24">
        <v>325</v>
      </c>
      <c r="D219" s="45">
        <v>44051</v>
      </c>
      <c r="E219" s="24">
        <f t="shared" si="2"/>
        <v>8</v>
      </c>
      <c r="F219" s="46">
        <v>1050</v>
      </c>
      <c r="G219" s="24" t="s">
        <v>93</v>
      </c>
      <c r="H219" s="24" t="s">
        <v>193</v>
      </c>
      <c r="I219" s="24" t="s">
        <v>208</v>
      </c>
      <c r="J219" s="24" t="s">
        <v>218</v>
      </c>
      <c r="K219" s="24" t="s">
        <v>187</v>
      </c>
      <c r="L219" s="24" t="s">
        <v>186</v>
      </c>
      <c r="M219" s="24">
        <v>3</v>
      </c>
      <c r="N219" s="24" t="s">
        <v>74</v>
      </c>
      <c r="O219" s="24" t="s">
        <v>270</v>
      </c>
      <c r="P219" s="24" t="s">
        <v>260</v>
      </c>
      <c r="Q219" s="24" t="s">
        <v>288</v>
      </c>
      <c r="R219" s="24" t="s">
        <v>55</v>
      </c>
      <c r="S219" s="24" t="s">
        <v>27</v>
      </c>
      <c r="T219" s="24" t="s">
        <v>47</v>
      </c>
      <c r="U219" s="24" t="s">
        <v>113</v>
      </c>
    </row>
    <row r="220" spans="3:21" ht="21.9" customHeight="1" x14ac:dyDescent="0.3">
      <c r="C220" s="24">
        <v>324</v>
      </c>
      <c r="D220" s="45">
        <v>44050</v>
      </c>
      <c r="E220" s="24">
        <f t="shared" si="2"/>
        <v>8</v>
      </c>
      <c r="F220" s="46">
        <v>540</v>
      </c>
      <c r="G220" s="24" t="s">
        <v>92</v>
      </c>
      <c r="H220" s="24" t="s">
        <v>225</v>
      </c>
      <c r="I220" s="24" t="s">
        <v>207</v>
      </c>
      <c r="J220" s="24" t="s">
        <v>219</v>
      </c>
      <c r="K220" s="24" t="s">
        <v>226</v>
      </c>
      <c r="L220" s="24" t="s">
        <v>186</v>
      </c>
      <c r="M220" s="24">
        <v>2</v>
      </c>
      <c r="N220" s="24" t="s">
        <v>72</v>
      </c>
      <c r="O220" s="24" t="s">
        <v>250</v>
      </c>
      <c r="P220" s="24" t="s">
        <v>253</v>
      </c>
      <c r="Q220" s="24" t="s">
        <v>384</v>
      </c>
      <c r="R220" s="24" t="s">
        <v>425</v>
      </c>
      <c r="S220" s="24" t="s">
        <v>492</v>
      </c>
      <c r="T220" s="24" t="s">
        <v>428</v>
      </c>
      <c r="U220" s="24" t="s">
        <v>113</v>
      </c>
    </row>
    <row r="221" spans="3:21" ht="21.9" customHeight="1" x14ac:dyDescent="0.3">
      <c r="C221" s="24">
        <v>323</v>
      </c>
      <c r="D221" s="45">
        <v>44049</v>
      </c>
      <c r="E221" s="24">
        <f t="shared" si="2"/>
        <v>8</v>
      </c>
      <c r="F221" s="46">
        <v>500</v>
      </c>
      <c r="G221" s="24" t="s">
        <v>91</v>
      </c>
      <c r="H221" s="24" t="s">
        <v>194</v>
      </c>
      <c r="I221" s="24" t="s">
        <v>209</v>
      </c>
      <c r="J221" s="24" t="s">
        <v>219</v>
      </c>
      <c r="K221" s="24" t="s">
        <v>187</v>
      </c>
      <c r="L221" s="24" t="s">
        <v>186</v>
      </c>
      <c r="M221" s="24">
        <v>1</v>
      </c>
      <c r="N221" s="24" t="s">
        <v>76</v>
      </c>
      <c r="O221" s="24" t="s">
        <v>272</v>
      </c>
      <c r="P221" s="24" t="s">
        <v>245</v>
      </c>
      <c r="Q221" s="24" t="s">
        <v>288</v>
      </c>
      <c r="R221" s="24" t="s">
        <v>345</v>
      </c>
      <c r="S221" s="24" t="s">
        <v>330</v>
      </c>
      <c r="T221" s="24" t="s">
        <v>44</v>
      </c>
      <c r="U221" s="24" t="s">
        <v>113</v>
      </c>
    </row>
    <row r="222" spans="3:21" ht="21.9" customHeight="1" x14ac:dyDescent="0.3">
      <c r="C222" s="24">
        <v>322</v>
      </c>
      <c r="D222" s="45">
        <v>44048</v>
      </c>
      <c r="E222" s="24">
        <f t="shared" si="2"/>
        <v>8</v>
      </c>
      <c r="F222" s="46">
        <v>2700</v>
      </c>
      <c r="G222" s="24" t="s">
        <v>90</v>
      </c>
      <c r="H222" s="24" t="s">
        <v>188</v>
      </c>
      <c r="I222" s="24" t="s">
        <v>209</v>
      </c>
      <c r="J222" s="24" t="s">
        <v>220</v>
      </c>
      <c r="K222" s="24" t="s">
        <v>187</v>
      </c>
      <c r="L222" s="24" t="s">
        <v>220</v>
      </c>
      <c r="M222" s="24">
        <v>3</v>
      </c>
      <c r="N222" s="24" t="s">
        <v>76</v>
      </c>
      <c r="O222" s="24" t="s">
        <v>272</v>
      </c>
      <c r="P222" s="24" t="s">
        <v>245</v>
      </c>
      <c r="Q222" s="24" t="s">
        <v>288</v>
      </c>
      <c r="R222" s="24" t="s">
        <v>54</v>
      </c>
      <c r="S222" s="24" t="s">
        <v>26</v>
      </c>
      <c r="T222" s="24" t="s">
        <v>46</v>
      </c>
      <c r="U222" s="24" t="s">
        <v>114</v>
      </c>
    </row>
    <row r="223" spans="3:21" ht="21.9" customHeight="1" x14ac:dyDescent="0.3">
      <c r="C223" s="24">
        <v>321</v>
      </c>
      <c r="D223" s="45">
        <v>44047</v>
      </c>
      <c r="E223" s="24">
        <f t="shared" si="2"/>
        <v>8</v>
      </c>
      <c r="F223" s="46">
        <v>180</v>
      </c>
      <c r="G223" s="24" t="s">
        <v>89</v>
      </c>
      <c r="H223" s="24" t="s">
        <v>195</v>
      </c>
      <c r="I223" s="24" t="s">
        <v>207</v>
      </c>
      <c r="J223" s="24" t="s">
        <v>223</v>
      </c>
      <c r="K223" s="24" t="s">
        <v>226</v>
      </c>
      <c r="L223" s="24" t="s">
        <v>220</v>
      </c>
      <c r="M223" s="24">
        <v>3</v>
      </c>
      <c r="N223" s="24" t="s">
        <v>71</v>
      </c>
      <c r="O223" s="24" t="s">
        <v>271</v>
      </c>
      <c r="P223" s="24" t="s">
        <v>286</v>
      </c>
      <c r="Q223" s="24" t="s">
        <v>288</v>
      </c>
      <c r="R223" s="24" t="s">
        <v>465</v>
      </c>
      <c r="S223" s="24" t="s">
        <v>499</v>
      </c>
      <c r="T223" s="24" t="s">
        <v>249</v>
      </c>
      <c r="U223" s="24" t="s">
        <v>113</v>
      </c>
    </row>
    <row r="224" spans="3:21" ht="21.9" customHeight="1" x14ac:dyDescent="0.3">
      <c r="C224" s="24">
        <v>320</v>
      </c>
      <c r="D224" s="45">
        <v>44046</v>
      </c>
      <c r="E224" s="24">
        <f t="shared" si="2"/>
        <v>8</v>
      </c>
      <c r="F224" s="46">
        <v>70</v>
      </c>
      <c r="G224" s="24" t="s">
        <v>88</v>
      </c>
      <c r="H224" s="24" t="s">
        <v>196</v>
      </c>
      <c r="I224" s="24" t="s">
        <v>208</v>
      </c>
      <c r="J224" s="24" t="s">
        <v>216</v>
      </c>
      <c r="K224" s="24" t="s">
        <v>226</v>
      </c>
      <c r="L224" s="24" t="s">
        <v>230</v>
      </c>
      <c r="M224" s="24">
        <v>1</v>
      </c>
      <c r="N224" s="24" t="s">
        <v>51</v>
      </c>
      <c r="O224" s="24" t="s">
        <v>269</v>
      </c>
      <c r="P224" s="24" t="s">
        <v>262</v>
      </c>
      <c r="Q224" s="24" t="s">
        <v>288</v>
      </c>
      <c r="R224" s="24" t="s">
        <v>63</v>
      </c>
      <c r="S224" s="24" t="s">
        <v>35</v>
      </c>
      <c r="T224" s="24" t="s">
        <v>45</v>
      </c>
      <c r="U224" s="24" t="s">
        <v>113</v>
      </c>
    </row>
    <row r="225" spans="3:21" ht="21.9" customHeight="1" x14ac:dyDescent="0.3">
      <c r="C225" s="24">
        <v>319</v>
      </c>
      <c r="D225" s="45">
        <v>44045</v>
      </c>
      <c r="E225" s="24">
        <f t="shared" si="2"/>
        <v>8</v>
      </c>
      <c r="F225" s="46">
        <v>76</v>
      </c>
      <c r="G225" s="24" t="s">
        <v>87</v>
      </c>
      <c r="H225" s="24" t="s">
        <v>197</v>
      </c>
      <c r="I225" s="24" t="s">
        <v>208</v>
      </c>
      <c r="J225" s="24" t="s">
        <v>222</v>
      </c>
      <c r="K225" s="24" t="s">
        <v>226</v>
      </c>
      <c r="L225" s="24" t="s">
        <v>230</v>
      </c>
      <c r="M225" s="24">
        <v>1</v>
      </c>
      <c r="N225" s="24" t="s">
        <v>380</v>
      </c>
      <c r="O225" s="24" t="s">
        <v>381</v>
      </c>
      <c r="P225" s="24" t="s">
        <v>46</v>
      </c>
      <c r="Q225" s="24" t="s">
        <v>384</v>
      </c>
      <c r="R225" s="24" t="s">
        <v>50</v>
      </c>
      <c r="S225" s="24" t="s">
        <v>291</v>
      </c>
      <c r="T225" s="24" t="s">
        <v>46</v>
      </c>
      <c r="U225" s="24" t="s">
        <v>294</v>
      </c>
    </row>
    <row r="226" spans="3:21" ht="21.9" customHeight="1" x14ac:dyDescent="0.3">
      <c r="C226" s="24">
        <v>318</v>
      </c>
      <c r="D226" s="45">
        <v>44044</v>
      </c>
      <c r="E226" s="24">
        <f t="shared" si="2"/>
        <v>8</v>
      </c>
      <c r="F226" s="46">
        <v>1200</v>
      </c>
      <c r="G226" s="24" t="s">
        <v>86</v>
      </c>
      <c r="H226" s="24" t="s">
        <v>198</v>
      </c>
      <c r="I226" s="24" t="s">
        <v>207</v>
      </c>
      <c r="J226" s="24" t="s">
        <v>224</v>
      </c>
      <c r="K226" s="24" t="s">
        <v>228</v>
      </c>
      <c r="L226" s="24" t="s">
        <v>230</v>
      </c>
      <c r="M226" s="24">
        <v>2</v>
      </c>
      <c r="N226" s="24" t="s">
        <v>51</v>
      </c>
      <c r="O226" s="24" t="s">
        <v>269</v>
      </c>
      <c r="P226" s="24" t="s">
        <v>262</v>
      </c>
      <c r="Q226" s="24" t="s">
        <v>288</v>
      </c>
      <c r="R226" s="24" t="s">
        <v>414</v>
      </c>
      <c r="S226" s="24" t="s">
        <v>490</v>
      </c>
      <c r="T226" s="24" t="s">
        <v>46</v>
      </c>
      <c r="U226" s="24" t="s">
        <v>113</v>
      </c>
    </row>
    <row r="227" spans="3:21" ht="21.9" customHeight="1" x14ac:dyDescent="0.3">
      <c r="C227" s="24">
        <v>317</v>
      </c>
      <c r="D227" s="45">
        <v>44044</v>
      </c>
      <c r="E227" s="24">
        <f t="shared" si="2"/>
        <v>8</v>
      </c>
      <c r="F227" s="46">
        <v>510</v>
      </c>
      <c r="G227" s="24" t="s">
        <v>85</v>
      </c>
      <c r="H227" s="24" t="s">
        <v>199</v>
      </c>
      <c r="I227" s="24" t="s">
        <v>209</v>
      </c>
      <c r="J227" s="24" t="s">
        <v>216</v>
      </c>
      <c r="K227" s="24" t="s">
        <v>228</v>
      </c>
      <c r="L227" s="24" t="s">
        <v>221</v>
      </c>
      <c r="M227" s="24">
        <v>3</v>
      </c>
      <c r="N227" s="24" t="s">
        <v>75</v>
      </c>
      <c r="O227" s="24" t="s">
        <v>26</v>
      </c>
      <c r="P227" s="24" t="s">
        <v>249</v>
      </c>
      <c r="Q227" s="24" t="s">
        <v>289</v>
      </c>
      <c r="R227" s="24" t="s">
        <v>57</v>
      </c>
      <c r="S227" s="24" t="s">
        <v>29</v>
      </c>
      <c r="T227" s="24" t="s">
        <v>49</v>
      </c>
      <c r="U227" s="24" t="s">
        <v>113</v>
      </c>
    </row>
    <row r="228" spans="3:21" ht="21.9" customHeight="1" x14ac:dyDescent="0.3">
      <c r="C228" s="24">
        <v>316</v>
      </c>
      <c r="D228" s="45">
        <v>44072</v>
      </c>
      <c r="E228" s="24">
        <f t="shared" si="2"/>
        <v>8</v>
      </c>
      <c r="F228" s="46">
        <v>800</v>
      </c>
      <c r="G228" s="24" t="s">
        <v>84</v>
      </c>
      <c r="H228" s="24" t="s">
        <v>200</v>
      </c>
      <c r="I228" s="24" t="s">
        <v>208</v>
      </c>
      <c r="J228" s="24" t="s">
        <v>222</v>
      </c>
      <c r="K228" s="24" t="s">
        <v>228</v>
      </c>
      <c r="L228" s="24" t="s">
        <v>220</v>
      </c>
      <c r="M228" s="24">
        <v>2</v>
      </c>
      <c r="N228" s="24" t="s">
        <v>74</v>
      </c>
      <c r="O228" s="24" t="s">
        <v>270</v>
      </c>
      <c r="P228" s="24" t="s">
        <v>260</v>
      </c>
      <c r="Q228" s="24" t="s">
        <v>288</v>
      </c>
      <c r="R228" s="24" t="s">
        <v>70</v>
      </c>
      <c r="S228" s="24" t="s">
        <v>42</v>
      </c>
      <c r="T228" s="24" t="s">
        <v>47</v>
      </c>
      <c r="U228" s="24" t="s">
        <v>114</v>
      </c>
    </row>
    <row r="229" spans="3:21" ht="21.9" customHeight="1" x14ac:dyDescent="0.3">
      <c r="C229" s="24">
        <v>315</v>
      </c>
      <c r="D229" s="45">
        <v>44071</v>
      </c>
      <c r="E229" s="24">
        <f t="shared" si="2"/>
        <v>8</v>
      </c>
      <c r="F229" s="46">
        <v>800</v>
      </c>
      <c r="G229" s="24" t="s">
        <v>83</v>
      </c>
      <c r="H229" s="24" t="s">
        <v>201</v>
      </c>
      <c r="I229" s="24" t="s">
        <v>208</v>
      </c>
      <c r="J229" s="24" t="s">
        <v>222</v>
      </c>
      <c r="K229" s="24" t="s">
        <v>226</v>
      </c>
      <c r="L229" s="24" t="s">
        <v>230</v>
      </c>
      <c r="M229" s="24">
        <v>1</v>
      </c>
      <c r="N229" s="24" t="s">
        <v>75</v>
      </c>
      <c r="O229" s="24" t="s">
        <v>26</v>
      </c>
      <c r="P229" s="24" t="s">
        <v>249</v>
      </c>
      <c r="Q229" s="24" t="s">
        <v>289</v>
      </c>
      <c r="R229" s="24" t="s">
        <v>347</v>
      </c>
      <c r="S229" s="24" t="s">
        <v>335</v>
      </c>
      <c r="T229" s="24" t="s">
        <v>49</v>
      </c>
      <c r="U229" s="24" t="s">
        <v>113</v>
      </c>
    </row>
    <row r="230" spans="3:21" ht="21.9" customHeight="1" x14ac:dyDescent="0.3">
      <c r="C230" s="24">
        <v>314</v>
      </c>
      <c r="D230" s="45">
        <v>44070</v>
      </c>
      <c r="E230" s="24">
        <f t="shared" ref="E230:E293" si="3">MONTH(D230)</f>
        <v>8</v>
      </c>
      <c r="F230" s="46">
        <v>800</v>
      </c>
      <c r="G230" s="24" t="s">
        <v>82</v>
      </c>
      <c r="H230" s="24" t="s">
        <v>202</v>
      </c>
      <c r="I230" s="24" t="s">
        <v>207</v>
      </c>
      <c r="J230" s="24" t="s">
        <v>222</v>
      </c>
      <c r="K230" s="24" t="s">
        <v>226</v>
      </c>
      <c r="L230" s="24" t="s">
        <v>230</v>
      </c>
      <c r="M230" s="24">
        <v>2</v>
      </c>
      <c r="N230" s="24" t="s">
        <v>76</v>
      </c>
      <c r="O230" s="24" t="s">
        <v>272</v>
      </c>
      <c r="P230" s="24" t="s">
        <v>245</v>
      </c>
      <c r="Q230" s="24" t="s">
        <v>288</v>
      </c>
      <c r="R230" s="24" t="s">
        <v>65</v>
      </c>
      <c r="S230" s="24" t="s">
        <v>37</v>
      </c>
      <c r="T230" s="24" t="s">
        <v>48</v>
      </c>
      <c r="U230" s="24" t="s">
        <v>113</v>
      </c>
    </row>
    <row r="231" spans="3:21" ht="21.9" customHeight="1" x14ac:dyDescent="0.3">
      <c r="C231" s="24">
        <v>313</v>
      </c>
      <c r="D231" s="45">
        <v>44069</v>
      </c>
      <c r="E231" s="24">
        <f t="shared" si="3"/>
        <v>8</v>
      </c>
      <c r="F231" s="46">
        <v>250</v>
      </c>
      <c r="G231" s="24" t="s">
        <v>81</v>
      </c>
      <c r="H231" s="24" t="s">
        <v>203</v>
      </c>
      <c r="I231" s="24" t="s">
        <v>207</v>
      </c>
      <c r="J231" s="24" t="s">
        <v>223</v>
      </c>
      <c r="K231" s="24" t="s">
        <v>226</v>
      </c>
      <c r="L231" s="24" t="s">
        <v>230</v>
      </c>
      <c r="M231" s="24">
        <v>1</v>
      </c>
      <c r="N231" s="24" t="s">
        <v>75</v>
      </c>
      <c r="O231" s="24" t="s">
        <v>26</v>
      </c>
      <c r="P231" s="24" t="s">
        <v>249</v>
      </c>
      <c r="Q231" s="24" t="s">
        <v>289</v>
      </c>
      <c r="R231" s="24" t="s">
        <v>342</v>
      </c>
      <c r="S231" s="24" t="s">
        <v>323</v>
      </c>
      <c r="T231" s="24" t="s">
        <v>46</v>
      </c>
      <c r="U231" s="24" t="s">
        <v>115</v>
      </c>
    </row>
    <row r="232" spans="3:21" ht="21.9" customHeight="1" x14ac:dyDescent="0.3">
      <c r="C232" s="24">
        <v>312</v>
      </c>
      <c r="D232" s="45">
        <v>44068</v>
      </c>
      <c r="E232" s="24">
        <f t="shared" si="3"/>
        <v>8</v>
      </c>
      <c r="F232" s="46">
        <v>120</v>
      </c>
      <c r="G232" s="24" t="s">
        <v>80</v>
      </c>
      <c r="H232" s="24" t="s">
        <v>204</v>
      </c>
      <c r="I232" s="24" t="s">
        <v>207</v>
      </c>
      <c r="J232" s="24" t="s">
        <v>221</v>
      </c>
      <c r="K232" s="24" t="s">
        <v>229</v>
      </c>
      <c r="L232" s="24" t="s">
        <v>221</v>
      </c>
      <c r="M232" s="24">
        <v>3</v>
      </c>
      <c r="N232" s="24" t="s">
        <v>380</v>
      </c>
      <c r="O232" s="24" t="s">
        <v>381</v>
      </c>
      <c r="P232" s="24" t="s">
        <v>46</v>
      </c>
      <c r="Q232" s="24" t="s">
        <v>384</v>
      </c>
      <c r="R232" s="24" t="s">
        <v>290</v>
      </c>
      <c r="S232" s="24" t="s">
        <v>296</v>
      </c>
      <c r="T232" s="24" t="s">
        <v>45</v>
      </c>
      <c r="U232" s="24" t="s">
        <v>113</v>
      </c>
    </row>
    <row r="233" spans="3:21" ht="21.9" customHeight="1" x14ac:dyDescent="0.3">
      <c r="C233" s="24">
        <v>311</v>
      </c>
      <c r="D233" s="45">
        <v>44067</v>
      </c>
      <c r="E233" s="24">
        <f t="shared" si="3"/>
        <v>8</v>
      </c>
      <c r="F233" s="46">
        <v>105</v>
      </c>
      <c r="G233" s="24" t="s">
        <v>79</v>
      </c>
      <c r="H233" s="24" t="s">
        <v>205</v>
      </c>
      <c r="I233" s="24" t="s">
        <v>207</v>
      </c>
      <c r="J233" s="24" t="s">
        <v>221</v>
      </c>
      <c r="K233" s="24" t="s">
        <v>229</v>
      </c>
      <c r="L233" s="24" t="s">
        <v>221</v>
      </c>
      <c r="M233" s="24">
        <v>3</v>
      </c>
      <c r="N233" s="24" t="s">
        <v>75</v>
      </c>
      <c r="O233" s="24" t="s">
        <v>26</v>
      </c>
      <c r="P233" s="24" t="s">
        <v>249</v>
      </c>
      <c r="Q233" s="24" t="s">
        <v>289</v>
      </c>
      <c r="R233" s="24" t="s">
        <v>459</v>
      </c>
      <c r="S233" s="24" t="s">
        <v>498</v>
      </c>
      <c r="T233" s="24" t="s">
        <v>462</v>
      </c>
      <c r="U233" s="24" t="s">
        <v>113</v>
      </c>
    </row>
    <row r="234" spans="3:21" ht="21.9" customHeight="1" x14ac:dyDescent="0.3">
      <c r="C234" s="24">
        <v>310</v>
      </c>
      <c r="D234" s="45">
        <v>44066</v>
      </c>
      <c r="E234" s="24">
        <f t="shared" si="3"/>
        <v>8</v>
      </c>
      <c r="F234" s="46">
        <v>90</v>
      </c>
      <c r="G234" s="24" t="s">
        <v>78</v>
      </c>
      <c r="H234" s="24" t="s">
        <v>206</v>
      </c>
      <c r="I234" s="24" t="s">
        <v>207</v>
      </c>
      <c r="J234" s="24" t="s">
        <v>221</v>
      </c>
      <c r="K234" s="24" t="s">
        <v>229</v>
      </c>
      <c r="L234" s="24" t="s">
        <v>221</v>
      </c>
      <c r="M234" s="24">
        <v>3</v>
      </c>
      <c r="N234" s="24" t="s">
        <v>380</v>
      </c>
      <c r="O234" s="24" t="s">
        <v>381</v>
      </c>
      <c r="P234" s="24" t="s">
        <v>46</v>
      </c>
      <c r="Q234" s="24" t="s">
        <v>384</v>
      </c>
      <c r="R234" s="24" t="s">
        <v>68</v>
      </c>
      <c r="S234" s="24" t="s">
        <v>40</v>
      </c>
      <c r="T234" s="24" t="s">
        <v>46</v>
      </c>
      <c r="U234" s="24" t="s">
        <v>115</v>
      </c>
    </row>
    <row r="235" spans="3:21" ht="21.9" customHeight="1" x14ac:dyDescent="0.3">
      <c r="C235" s="24">
        <v>309</v>
      </c>
      <c r="D235" s="45">
        <v>44065</v>
      </c>
      <c r="E235" s="24">
        <f t="shared" si="3"/>
        <v>8</v>
      </c>
      <c r="F235" s="46">
        <v>1600</v>
      </c>
      <c r="G235" s="24" t="s">
        <v>121</v>
      </c>
      <c r="H235" s="24" t="s">
        <v>183</v>
      </c>
      <c r="I235" s="24" t="s">
        <v>207</v>
      </c>
      <c r="J235" s="24" t="s">
        <v>210</v>
      </c>
      <c r="K235" s="24" t="s">
        <v>184</v>
      </c>
      <c r="L235" s="24" t="s">
        <v>230</v>
      </c>
      <c r="M235" s="24">
        <v>1</v>
      </c>
      <c r="N235" s="24" t="s">
        <v>72</v>
      </c>
      <c r="O235" s="24" t="s">
        <v>250</v>
      </c>
      <c r="P235" s="24" t="s">
        <v>253</v>
      </c>
      <c r="Q235" s="24" t="s">
        <v>384</v>
      </c>
      <c r="R235" s="24" t="s">
        <v>343</v>
      </c>
      <c r="S235" s="24" t="s">
        <v>325</v>
      </c>
      <c r="T235" s="24" t="s">
        <v>45</v>
      </c>
      <c r="U235" s="24" t="s">
        <v>116</v>
      </c>
    </row>
    <row r="236" spans="3:21" ht="21.9" customHeight="1" x14ac:dyDescent="0.3">
      <c r="C236" s="24">
        <v>308</v>
      </c>
      <c r="D236" s="45">
        <v>44064</v>
      </c>
      <c r="E236" s="24">
        <f t="shared" si="3"/>
        <v>8</v>
      </c>
      <c r="F236" s="46">
        <v>2800</v>
      </c>
      <c r="G236" s="24" t="s">
        <v>120</v>
      </c>
      <c r="H236" s="24" t="s">
        <v>185</v>
      </c>
      <c r="I236" s="24" t="s">
        <v>207</v>
      </c>
      <c r="J236" s="24" t="s">
        <v>210</v>
      </c>
      <c r="K236" s="24" t="s">
        <v>184</v>
      </c>
      <c r="L236" s="24" t="s">
        <v>230</v>
      </c>
      <c r="M236" s="24">
        <v>1</v>
      </c>
      <c r="N236" s="24" t="s">
        <v>51</v>
      </c>
      <c r="O236" s="24" t="s">
        <v>269</v>
      </c>
      <c r="P236" s="24" t="s">
        <v>262</v>
      </c>
      <c r="Q236" s="24" t="s">
        <v>288</v>
      </c>
      <c r="R236" s="24" t="s">
        <v>57</v>
      </c>
      <c r="S236" s="24" t="s">
        <v>29</v>
      </c>
      <c r="T236" s="24" t="s">
        <v>49</v>
      </c>
      <c r="U236" s="24" t="s">
        <v>113</v>
      </c>
    </row>
    <row r="237" spans="3:21" ht="21.9" customHeight="1" x14ac:dyDescent="0.3">
      <c r="C237" s="24">
        <v>307</v>
      </c>
      <c r="D237" s="45">
        <v>44063</v>
      </c>
      <c r="E237" s="24">
        <f t="shared" si="3"/>
        <v>8</v>
      </c>
      <c r="F237" s="46">
        <v>80</v>
      </c>
      <c r="G237" s="24" t="s">
        <v>97</v>
      </c>
      <c r="H237" s="24" t="s">
        <v>189</v>
      </c>
      <c r="I237" s="24" t="s">
        <v>207</v>
      </c>
      <c r="J237" s="24" t="s">
        <v>211</v>
      </c>
      <c r="K237" s="24" t="s">
        <v>227</v>
      </c>
      <c r="L237" s="24" t="s">
        <v>186</v>
      </c>
      <c r="M237" s="24">
        <v>1</v>
      </c>
      <c r="N237" s="24" t="s">
        <v>72</v>
      </c>
      <c r="O237" s="24" t="s">
        <v>250</v>
      </c>
      <c r="P237" s="24" t="s">
        <v>253</v>
      </c>
      <c r="Q237" s="24" t="s">
        <v>384</v>
      </c>
      <c r="R237" s="24" t="s">
        <v>459</v>
      </c>
      <c r="S237" s="24" t="s">
        <v>498</v>
      </c>
      <c r="T237" s="24" t="s">
        <v>462</v>
      </c>
      <c r="U237" s="24" t="s">
        <v>113</v>
      </c>
    </row>
    <row r="238" spans="3:21" ht="21.9" customHeight="1" x14ac:dyDescent="0.3">
      <c r="C238" s="24">
        <v>306</v>
      </c>
      <c r="D238" s="45">
        <v>44062</v>
      </c>
      <c r="E238" s="24">
        <f t="shared" si="3"/>
        <v>8</v>
      </c>
      <c r="F238" s="46">
        <v>180</v>
      </c>
      <c r="G238" s="24" t="s">
        <v>96</v>
      </c>
      <c r="H238" s="24" t="s">
        <v>190</v>
      </c>
      <c r="I238" s="24" t="s">
        <v>208</v>
      </c>
      <c r="J238" s="24" t="s">
        <v>212</v>
      </c>
      <c r="K238" s="24" t="s">
        <v>227</v>
      </c>
      <c r="L238" s="24" t="s">
        <v>223</v>
      </c>
      <c r="M238" s="24">
        <v>3</v>
      </c>
      <c r="N238" s="24" t="s">
        <v>380</v>
      </c>
      <c r="O238" s="24" t="s">
        <v>381</v>
      </c>
      <c r="P238" s="24" t="s">
        <v>46</v>
      </c>
      <c r="Q238" s="24" t="s">
        <v>384</v>
      </c>
      <c r="R238" s="24" t="s">
        <v>388</v>
      </c>
      <c r="S238" s="24" t="s">
        <v>485</v>
      </c>
      <c r="T238" s="24" t="s">
        <v>390</v>
      </c>
      <c r="U238" s="24" t="s">
        <v>113</v>
      </c>
    </row>
    <row r="239" spans="3:21" ht="21.9" customHeight="1" x14ac:dyDescent="0.3">
      <c r="C239" s="24">
        <v>305</v>
      </c>
      <c r="D239" s="45">
        <v>44061</v>
      </c>
      <c r="E239" s="24">
        <f t="shared" si="3"/>
        <v>8</v>
      </c>
      <c r="F239" s="46">
        <v>200</v>
      </c>
      <c r="G239" s="24" t="s">
        <v>95</v>
      </c>
      <c r="H239" s="24" t="s">
        <v>191</v>
      </c>
      <c r="I239" s="24" t="s">
        <v>207</v>
      </c>
      <c r="J239" s="24" t="s">
        <v>222</v>
      </c>
      <c r="K239" s="24" t="s">
        <v>226</v>
      </c>
      <c r="L239" s="24" t="s">
        <v>231</v>
      </c>
      <c r="M239" s="24">
        <v>2</v>
      </c>
      <c r="N239" s="24" t="s">
        <v>51</v>
      </c>
      <c r="O239" s="24" t="s">
        <v>269</v>
      </c>
      <c r="P239" s="24" t="s">
        <v>262</v>
      </c>
      <c r="Q239" s="24" t="s">
        <v>288</v>
      </c>
      <c r="R239" s="24" t="s">
        <v>60</v>
      </c>
      <c r="S239" s="24" t="s">
        <v>32</v>
      </c>
      <c r="T239" s="24" t="s">
        <v>48</v>
      </c>
      <c r="U239" s="24" t="s">
        <v>113</v>
      </c>
    </row>
    <row r="240" spans="3:21" ht="21.9" customHeight="1" x14ac:dyDescent="0.3">
      <c r="C240" s="24">
        <v>304</v>
      </c>
      <c r="D240" s="45">
        <v>44060</v>
      </c>
      <c r="E240" s="24">
        <f t="shared" si="3"/>
        <v>8</v>
      </c>
      <c r="F240" s="46">
        <v>900</v>
      </c>
      <c r="G240" s="24" t="s">
        <v>94</v>
      </c>
      <c r="H240" s="24" t="s">
        <v>192</v>
      </c>
      <c r="I240" s="24" t="s">
        <v>207</v>
      </c>
      <c r="J240" s="24" t="s">
        <v>216</v>
      </c>
      <c r="K240" s="24" t="s">
        <v>187</v>
      </c>
      <c r="L240" s="24" t="s">
        <v>232</v>
      </c>
      <c r="M240" s="24">
        <v>3</v>
      </c>
      <c r="N240" s="24" t="s">
        <v>76</v>
      </c>
      <c r="O240" s="24" t="s">
        <v>272</v>
      </c>
      <c r="P240" s="24" t="s">
        <v>245</v>
      </c>
      <c r="Q240" s="24" t="s">
        <v>288</v>
      </c>
      <c r="R240" s="24" t="s">
        <v>61</v>
      </c>
      <c r="S240" s="24" t="s">
        <v>33</v>
      </c>
      <c r="T240" s="24" t="s">
        <v>47</v>
      </c>
      <c r="U240" s="24" t="s">
        <v>113</v>
      </c>
    </row>
    <row r="241" spans="3:21" ht="21.9" customHeight="1" x14ac:dyDescent="0.3">
      <c r="C241" s="24">
        <v>303</v>
      </c>
      <c r="D241" s="45">
        <v>44059</v>
      </c>
      <c r="E241" s="24">
        <f t="shared" si="3"/>
        <v>8</v>
      </c>
      <c r="F241" s="46">
        <v>700</v>
      </c>
      <c r="G241" s="24" t="s">
        <v>93</v>
      </c>
      <c r="H241" s="24" t="s">
        <v>193</v>
      </c>
      <c r="I241" s="24" t="s">
        <v>208</v>
      </c>
      <c r="J241" s="24" t="s">
        <v>218</v>
      </c>
      <c r="K241" s="24" t="s">
        <v>187</v>
      </c>
      <c r="L241" s="24" t="s">
        <v>186</v>
      </c>
      <c r="M241" s="24">
        <v>2</v>
      </c>
      <c r="N241" s="24" t="s">
        <v>51</v>
      </c>
      <c r="O241" s="24" t="s">
        <v>269</v>
      </c>
      <c r="P241" s="24" t="s">
        <v>262</v>
      </c>
      <c r="Q241" s="24" t="s">
        <v>288</v>
      </c>
      <c r="R241" s="24" t="s">
        <v>437</v>
      </c>
      <c r="S241" s="24" t="s">
        <v>494</v>
      </c>
      <c r="T241" s="24" t="s">
        <v>262</v>
      </c>
      <c r="U241" s="24" t="s">
        <v>113</v>
      </c>
    </row>
    <row r="242" spans="3:21" ht="21.9" customHeight="1" x14ac:dyDescent="0.3">
      <c r="C242" s="24">
        <v>302</v>
      </c>
      <c r="D242" s="45">
        <v>44058</v>
      </c>
      <c r="E242" s="24">
        <f t="shared" si="3"/>
        <v>8</v>
      </c>
      <c r="F242" s="46">
        <v>270</v>
      </c>
      <c r="G242" s="24" t="s">
        <v>92</v>
      </c>
      <c r="H242" s="24" t="s">
        <v>225</v>
      </c>
      <c r="I242" s="24" t="s">
        <v>207</v>
      </c>
      <c r="J242" s="24" t="s">
        <v>219</v>
      </c>
      <c r="K242" s="24" t="s">
        <v>226</v>
      </c>
      <c r="L242" s="24" t="s">
        <v>186</v>
      </c>
      <c r="M242" s="24">
        <v>1</v>
      </c>
      <c r="N242" s="24" t="s">
        <v>76</v>
      </c>
      <c r="O242" s="24" t="s">
        <v>272</v>
      </c>
      <c r="P242" s="24" t="s">
        <v>245</v>
      </c>
      <c r="Q242" s="24" t="s">
        <v>288</v>
      </c>
      <c r="R242" s="24" t="s">
        <v>70</v>
      </c>
      <c r="S242" s="24" t="s">
        <v>42</v>
      </c>
      <c r="T242" s="24" t="s">
        <v>47</v>
      </c>
      <c r="U242" s="24" t="s">
        <v>114</v>
      </c>
    </row>
    <row r="243" spans="3:21" ht="21.9" customHeight="1" x14ac:dyDescent="0.3">
      <c r="C243" s="24">
        <v>301</v>
      </c>
      <c r="D243" s="45">
        <v>44057</v>
      </c>
      <c r="E243" s="24">
        <f t="shared" si="3"/>
        <v>8</v>
      </c>
      <c r="F243" s="46">
        <v>1500</v>
      </c>
      <c r="G243" s="24" t="s">
        <v>91</v>
      </c>
      <c r="H243" s="24" t="s">
        <v>194</v>
      </c>
      <c r="I243" s="24" t="s">
        <v>209</v>
      </c>
      <c r="J243" s="24" t="s">
        <v>219</v>
      </c>
      <c r="K243" s="24" t="s">
        <v>187</v>
      </c>
      <c r="L243" s="24" t="s">
        <v>186</v>
      </c>
      <c r="M243" s="24">
        <v>3</v>
      </c>
      <c r="N243" s="24" t="s">
        <v>71</v>
      </c>
      <c r="O243" s="24" t="s">
        <v>271</v>
      </c>
      <c r="P243" s="24" t="s">
        <v>286</v>
      </c>
      <c r="Q243" s="24" t="s">
        <v>288</v>
      </c>
      <c r="R243" s="24" t="s">
        <v>459</v>
      </c>
      <c r="S243" s="24" t="s">
        <v>498</v>
      </c>
      <c r="T243" s="24" t="s">
        <v>462</v>
      </c>
      <c r="U243" s="24" t="s">
        <v>113</v>
      </c>
    </row>
    <row r="244" spans="3:21" ht="21.9" customHeight="1" x14ac:dyDescent="0.3">
      <c r="C244" s="24">
        <v>300</v>
      </c>
      <c r="D244" s="45">
        <v>44056</v>
      </c>
      <c r="E244" s="24">
        <f t="shared" si="3"/>
        <v>8</v>
      </c>
      <c r="F244" s="46">
        <v>2700</v>
      </c>
      <c r="G244" s="24" t="s">
        <v>90</v>
      </c>
      <c r="H244" s="24" t="s">
        <v>188</v>
      </c>
      <c r="I244" s="24" t="s">
        <v>209</v>
      </c>
      <c r="J244" s="24" t="s">
        <v>220</v>
      </c>
      <c r="K244" s="24" t="s">
        <v>187</v>
      </c>
      <c r="L244" s="24" t="s">
        <v>220</v>
      </c>
      <c r="M244" s="24">
        <v>3</v>
      </c>
      <c r="N244" s="24" t="s">
        <v>77</v>
      </c>
      <c r="O244" s="24" t="s">
        <v>273</v>
      </c>
      <c r="P244" s="24" t="s">
        <v>241</v>
      </c>
      <c r="Q244" s="24" t="s">
        <v>287</v>
      </c>
      <c r="R244" s="24" t="s">
        <v>290</v>
      </c>
      <c r="S244" s="24" t="s">
        <v>296</v>
      </c>
      <c r="T244" s="24" t="s">
        <v>45</v>
      </c>
      <c r="U244" s="24" t="s">
        <v>113</v>
      </c>
    </row>
    <row r="245" spans="3:21" ht="21.9" customHeight="1" x14ac:dyDescent="0.3">
      <c r="C245" s="24">
        <v>299</v>
      </c>
      <c r="D245" s="45">
        <v>44055</v>
      </c>
      <c r="E245" s="24">
        <f t="shared" si="3"/>
        <v>8</v>
      </c>
      <c r="F245" s="46">
        <v>60</v>
      </c>
      <c r="G245" s="24" t="s">
        <v>89</v>
      </c>
      <c r="H245" s="24" t="s">
        <v>195</v>
      </c>
      <c r="I245" s="24" t="s">
        <v>207</v>
      </c>
      <c r="J245" s="24" t="s">
        <v>223</v>
      </c>
      <c r="K245" s="24" t="s">
        <v>226</v>
      </c>
      <c r="L245" s="24" t="s">
        <v>220</v>
      </c>
      <c r="M245" s="24">
        <v>1</v>
      </c>
      <c r="N245" s="24" t="s">
        <v>73</v>
      </c>
      <c r="O245" s="24" t="s">
        <v>268</v>
      </c>
      <c r="P245" s="24" t="s">
        <v>262</v>
      </c>
      <c r="Q245" s="24" t="s">
        <v>288</v>
      </c>
      <c r="R245" s="24" t="s">
        <v>65</v>
      </c>
      <c r="S245" s="24" t="s">
        <v>37</v>
      </c>
      <c r="T245" s="24" t="s">
        <v>48</v>
      </c>
      <c r="U245" s="24" t="s">
        <v>113</v>
      </c>
    </row>
    <row r="246" spans="3:21" ht="21.9" customHeight="1" x14ac:dyDescent="0.3">
      <c r="C246" s="24">
        <v>298</v>
      </c>
      <c r="D246" s="45">
        <v>44054</v>
      </c>
      <c r="E246" s="24">
        <f t="shared" si="3"/>
        <v>8</v>
      </c>
      <c r="F246" s="46">
        <v>70</v>
      </c>
      <c r="G246" s="24" t="s">
        <v>88</v>
      </c>
      <c r="H246" s="24" t="s">
        <v>196</v>
      </c>
      <c r="I246" s="24" t="s">
        <v>208</v>
      </c>
      <c r="J246" s="24" t="s">
        <v>216</v>
      </c>
      <c r="K246" s="24" t="s">
        <v>226</v>
      </c>
      <c r="L246" s="24" t="s">
        <v>230</v>
      </c>
      <c r="M246" s="24">
        <v>1</v>
      </c>
      <c r="N246" s="24" t="s">
        <v>51</v>
      </c>
      <c r="O246" s="24" t="s">
        <v>269</v>
      </c>
      <c r="P246" s="24" t="s">
        <v>262</v>
      </c>
      <c r="Q246" s="24" t="s">
        <v>288</v>
      </c>
      <c r="R246" s="24" t="s">
        <v>431</v>
      </c>
      <c r="S246" s="24" t="s">
        <v>493</v>
      </c>
      <c r="T246" s="24" t="s">
        <v>434</v>
      </c>
      <c r="U246" s="24" t="s">
        <v>113</v>
      </c>
    </row>
    <row r="247" spans="3:21" ht="21.9" customHeight="1" x14ac:dyDescent="0.3">
      <c r="C247" s="24">
        <v>297</v>
      </c>
      <c r="D247" s="45">
        <v>44053</v>
      </c>
      <c r="E247" s="24">
        <f t="shared" si="3"/>
        <v>8</v>
      </c>
      <c r="F247" s="46">
        <v>152</v>
      </c>
      <c r="G247" s="24" t="s">
        <v>87</v>
      </c>
      <c r="H247" s="24" t="s">
        <v>197</v>
      </c>
      <c r="I247" s="24" t="s">
        <v>208</v>
      </c>
      <c r="J247" s="24" t="s">
        <v>222</v>
      </c>
      <c r="K247" s="24" t="s">
        <v>226</v>
      </c>
      <c r="L247" s="24" t="s">
        <v>230</v>
      </c>
      <c r="M247" s="24">
        <v>2</v>
      </c>
      <c r="N247" s="24" t="s">
        <v>51</v>
      </c>
      <c r="O247" s="24" t="s">
        <v>269</v>
      </c>
      <c r="P247" s="24" t="s">
        <v>262</v>
      </c>
      <c r="Q247" s="24" t="s">
        <v>288</v>
      </c>
      <c r="R247" s="24" t="s">
        <v>67</v>
      </c>
      <c r="S247" s="24" t="s">
        <v>39</v>
      </c>
      <c r="T247" s="24" t="s">
        <v>45</v>
      </c>
      <c r="U247" s="24" t="s">
        <v>116</v>
      </c>
    </row>
    <row r="248" spans="3:21" ht="21.9" customHeight="1" x14ac:dyDescent="0.3">
      <c r="C248" s="24">
        <v>296</v>
      </c>
      <c r="D248" s="45">
        <v>44052</v>
      </c>
      <c r="E248" s="24">
        <f t="shared" si="3"/>
        <v>8</v>
      </c>
      <c r="F248" s="46">
        <v>600</v>
      </c>
      <c r="G248" s="24" t="s">
        <v>86</v>
      </c>
      <c r="H248" s="24" t="s">
        <v>198</v>
      </c>
      <c r="I248" s="24" t="s">
        <v>207</v>
      </c>
      <c r="J248" s="24" t="s">
        <v>224</v>
      </c>
      <c r="K248" s="24" t="s">
        <v>228</v>
      </c>
      <c r="L248" s="24" t="s">
        <v>230</v>
      </c>
      <c r="M248" s="24">
        <v>1</v>
      </c>
      <c r="N248" s="24" t="s">
        <v>76</v>
      </c>
      <c r="O248" s="24" t="s">
        <v>272</v>
      </c>
      <c r="P248" s="24" t="s">
        <v>245</v>
      </c>
      <c r="Q248" s="24" t="s">
        <v>288</v>
      </c>
      <c r="R248" s="24" t="s">
        <v>61</v>
      </c>
      <c r="S248" s="24" t="s">
        <v>33</v>
      </c>
      <c r="T248" s="24" t="s">
        <v>47</v>
      </c>
      <c r="U248" s="24" t="s">
        <v>113</v>
      </c>
    </row>
    <row r="249" spans="3:21" ht="21.9" customHeight="1" x14ac:dyDescent="0.3">
      <c r="C249" s="24">
        <v>295</v>
      </c>
      <c r="D249" s="45">
        <v>44051</v>
      </c>
      <c r="E249" s="24">
        <f t="shared" si="3"/>
        <v>8</v>
      </c>
      <c r="F249" s="46">
        <v>170</v>
      </c>
      <c r="G249" s="24" t="s">
        <v>85</v>
      </c>
      <c r="H249" s="24" t="s">
        <v>199</v>
      </c>
      <c r="I249" s="24" t="s">
        <v>209</v>
      </c>
      <c r="J249" s="24" t="s">
        <v>216</v>
      </c>
      <c r="K249" s="24" t="s">
        <v>228</v>
      </c>
      <c r="L249" s="24" t="s">
        <v>221</v>
      </c>
      <c r="M249" s="24">
        <v>1</v>
      </c>
      <c r="N249" s="24" t="s">
        <v>73</v>
      </c>
      <c r="O249" s="24" t="s">
        <v>268</v>
      </c>
      <c r="P249" s="24" t="s">
        <v>262</v>
      </c>
      <c r="Q249" s="24" t="s">
        <v>288</v>
      </c>
      <c r="R249" s="24" t="s">
        <v>55</v>
      </c>
      <c r="S249" s="24" t="s">
        <v>27</v>
      </c>
      <c r="T249" s="24" t="s">
        <v>47</v>
      </c>
      <c r="U249" s="24" t="s">
        <v>113</v>
      </c>
    </row>
    <row r="250" spans="3:21" ht="21.9" customHeight="1" x14ac:dyDescent="0.3">
      <c r="C250" s="24">
        <v>294</v>
      </c>
      <c r="D250" s="45">
        <v>44050</v>
      </c>
      <c r="E250" s="24">
        <f t="shared" si="3"/>
        <v>8</v>
      </c>
      <c r="F250" s="46">
        <v>400</v>
      </c>
      <c r="G250" s="24" t="s">
        <v>84</v>
      </c>
      <c r="H250" s="24" t="s">
        <v>200</v>
      </c>
      <c r="I250" s="24" t="s">
        <v>208</v>
      </c>
      <c r="J250" s="24" t="s">
        <v>222</v>
      </c>
      <c r="K250" s="24" t="s">
        <v>228</v>
      </c>
      <c r="L250" s="24" t="s">
        <v>220</v>
      </c>
      <c r="M250" s="24">
        <v>1</v>
      </c>
      <c r="N250" s="24" t="s">
        <v>72</v>
      </c>
      <c r="O250" s="24" t="s">
        <v>250</v>
      </c>
      <c r="P250" s="24" t="s">
        <v>253</v>
      </c>
      <c r="Q250" s="24" t="s">
        <v>384</v>
      </c>
      <c r="R250" s="24" t="s">
        <v>476</v>
      </c>
      <c r="S250" s="24" t="s">
        <v>477</v>
      </c>
      <c r="T250" s="24" t="s">
        <v>253</v>
      </c>
      <c r="U250" s="24" t="s">
        <v>113</v>
      </c>
    </row>
    <row r="251" spans="3:21" ht="21.9" customHeight="1" x14ac:dyDescent="0.3">
      <c r="C251" s="24">
        <v>293</v>
      </c>
      <c r="D251" s="45">
        <v>44049</v>
      </c>
      <c r="E251" s="24">
        <f t="shared" si="3"/>
        <v>8</v>
      </c>
      <c r="F251" s="46">
        <v>800</v>
      </c>
      <c r="G251" s="24" t="s">
        <v>83</v>
      </c>
      <c r="H251" s="24" t="s">
        <v>201</v>
      </c>
      <c r="I251" s="24" t="s">
        <v>208</v>
      </c>
      <c r="J251" s="24" t="s">
        <v>222</v>
      </c>
      <c r="K251" s="24" t="s">
        <v>226</v>
      </c>
      <c r="L251" s="24" t="s">
        <v>230</v>
      </c>
      <c r="M251" s="24">
        <v>1</v>
      </c>
      <c r="N251" s="24" t="s">
        <v>72</v>
      </c>
      <c r="O251" s="24" t="s">
        <v>250</v>
      </c>
      <c r="P251" s="24" t="s">
        <v>253</v>
      </c>
      <c r="Q251" s="24" t="s">
        <v>384</v>
      </c>
      <c r="R251" s="24" t="s">
        <v>65</v>
      </c>
      <c r="S251" s="24" t="s">
        <v>37</v>
      </c>
      <c r="T251" s="24" t="s">
        <v>48</v>
      </c>
      <c r="U251" s="24" t="s">
        <v>113</v>
      </c>
    </row>
    <row r="252" spans="3:21" ht="21.9" customHeight="1" x14ac:dyDescent="0.3">
      <c r="C252" s="24">
        <v>292</v>
      </c>
      <c r="D252" s="45">
        <v>44048</v>
      </c>
      <c r="E252" s="24">
        <f t="shared" si="3"/>
        <v>8</v>
      </c>
      <c r="F252" s="46">
        <v>1200</v>
      </c>
      <c r="G252" s="24" t="s">
        <v>82</v>
      </c>
      <c r="H252" s="24" t="s">
        <v>202</v>
      </c>
      <c r="I252" s="24" t="s">
        <v>207</v>
      </c>
      <c r="J252" s="24" t="s">
        <v>222</v>
      </c>
      <c r="K252" s="24" t="s">
        <v>226</v>
      </c>
      <c r="L252" s="24" t="s">
        <v>230</v>
      </c>
      <c r="M252" s="24">
        <v>3</v>
      </c>
      <c r="N252" s="24" t="s">
        <v>51</v>
      </c>
      <c r="O252" s="24" t="s">
        <v>269</v>
      </c>
      <c r="P252" s="24" t="s">
        <v>262</v>
      </c>
      <c r="Q252" s="24" t="s">
        <v>288</v>
      </c>
      <c r="R252" s="24" t="s">
        <v>454</v>
      </c>
      <c r="S252" s="24" t="s">
        <v>497</v>
      </c>
      <c r="T252" s="24" t="s">
        <v>253</v>
      </c>
      <c r="U252" s="24" t="s">
        <v>113</v>
      </c>
    </row>
    <row r="253" spans="3:21" ht="21.9" customHeight="1" x14ac:dyDescent="0.3">
      <c r="C253" s="24">
        <v>291</v>
      </c>
      <c r="D253" s="45">
        <v>44047</v>
      </c>
      <c r="E253" s="24">
        <f t="shared" si="3"/>
        <v>8</v>
      </c>
      <c r="F253" s="46">
        <v>250</v>
      </c>
      <c r="G253" s="24" t="s">
        <v>81</v>
      </c>
      <c r="H253" s="24" t="s">
        <v>203</v>
      </c>
      <c r="I253" s="24" t="s">
        <v>207</v>
      </c>
      <c r="J253" s="24" t="s">
        <v>223</v>
      </c>
      <c r="K253" s="24" t="s">
        <v>226</v>
      </c>
      <c r="L253" s="24" t="s">
        <v>230</v>
      </c>
      <c r="M253" s="24">
        <v>1</v>
      </c>
      <c r="N253" s="24" t="s">
        <v>75</v>
      </c>
      <c r="O253" s="24" t="s">
        <v>26</v>
      </c>
      <c r="P253" s="24" t="s">
        <v>249</v>
      </c>
      <c r="Q253" s="24" t="s">
        <v>289</v>
      </c>
      <c r="R253" s="24" t="s">
        <v>54</v>
      </c>
      <c r="S253" s="24" t="s">
        <v>26</v>
      </c>
      <c r="T253" s="24" t="s">
        <v>46</v>
      </c>
      <c r="U253" s="24" t="s">
        <v>114</v>
      </c>
    </row>
    <row r="254" spans="3:21" ht="21.9" customHeight="1" x14ac:dyDescent="0.3">
      <c r="C254" s="24">
        <v>290</v>
      </c>
      <c r="D254" s="45">
        <v>44046</v>
      </c>
      <c r="E254" s="24">
        <f t="shared" si="3"/>
        <v>8</v>
      </c>
      <c r="F254" s="46">
        <v>40</v>
      </c>
      <c r="G254" s="24" t="s">
        <v>80</v>
      </c>
      <c r="H254" s="24" t="s">
        <v>204</v>
      </c>
      <c r="I254" s="24" t="s">
        <v>207</v>
      </c>
      <c r="J254" s="24" t="s">
        <v>221</v>
      </c>
      <c r="K254" s="24" t="s">
        <v>229</v>
      </c>
      <c r="L254" s="24" t="s">
        <v>221</v>
      </c>
      <c r="M254" s="24">
        <v>1</v>
      </c>
      <c r="N254" s="24" t="s">
        <v>75</v>
      </c>
      <c r="O254" s="24" t="s">
        <v>26</v>
      </c>
      <c r="P254" s="24" t="s">
        <v>249</v>
      </c>
      <c r="Q254" s="24" t="s">
        <v>289</v>
      </c>
      <c r="R254" s="24" t="s">
        <v>470</v>
      </c>
      <c r="S254" s="24" t="s">
        <v>500</v>
      </c>
      <c r="T254" s="24" t="s">
        <v>473</v>
      </c>
      <c r="U254" s="24" t="s">
        <v>113</v>
      </c>
    </row>
    <row r="255" spans="3:21" ht="21.9" customHeight="1" x14ac:dyDescent="0.3">
      <c r="C255" s="24">
        <v>289</v>
      </c>
      <c r="D255" s="45">
        <v>44045</v>
      </c>
      <c r="E255" s="24">
        <f t="shared" si="3"/>
        <v>8</v>
      </c>
      <c r="F255" s="46">
        <v>105</v>
      </c>
      <c r="G255" s="24" t="s">
        <v>79</v>
      </c>
      <c r="H255" s="24" t="s">
        <v>205</v>
      </c>
      <c r="I255" s="24" t="s">
        <v>207</v>
      </c>
      <c r="J255" s="24" t="s">
        <v>221</v>
      </c>
      <c r="K255" s="24" t="s">
        <v>229</v>
      </c>
      <c r="L255" s="24" t="s">
        <v>221</v>
      </c>
      <c r="M255" s="24">
        <v>3</v>
      </c>
      <c r="N255" s="24" t="s">
        <v>71</v>
      </c>
      <c r="O255" s="24" t="s">
        <v>271</v>
      </c>
      <c r="P255" s="24" t="s">
        <v>286</v>
      </c>
      <c r="Q255" s="24" t="s">
        <v>288</v>
      </c>
      <c r="R255" s="24" t="s">
        <v>62</v>
      </c>
      <c r="S255" s="24" t="s">
        <v>34</v>
      </c>
      <c r="T255" s="24" t="s">
        <v>47</v>
      </c>
      <c r="U255" s="24" t="s">
        <v>115</v>
      </c>
    </row>
    <row r="256" spans="3:21" ht="21.9" customHeight="1" x14ac:dyDescent="0.3">
      <c r="C256" s="24">
        <v>288</v>
      </c>
      <c r="D256" s="45">
        <v>44044</v>
      </c>
      <c r="E256" s="24">
        <f t="shared" si="3"/>
        <v>8</v>
      </c>
      <c r="F256" s="46">
        <v>90</v>
      </c>
      <c r="G256" s="24" t="s">
        <v>78</v>
      </c>
      <c r="H256" s="24" t="s">
        <v>206</v>
      </c>
      <c r="I256" s="24" t="s">
        <v>207</v>
      </c>
      <c r="J256" s="24" t="s">
        <v>221</v>
      </c>
      <c r="K256" s="24" t="s">
        <v>229</v>
      </c>
      <c r="L256" s="24" t="s">
        <v>221</v>
      </c>
      <c r="M256" s="24">
        <v>3</v>
      </c>
      <c r="N256" s="24" t="s">
        <v>51</v>
      </c>
      <c r="O256" s="24" t="s">
        <v>269</v>
      </c>
      <c r="P256" s="24" t="s">
        <v>262</v>
      </c>
      <c r="Q256" s="24" t="s">
        <v>288</v>
      </c>
      <c r="R256" s="24" t="s">
        <v>425</v>
      </c>
      <c r="S256" s="24" t="s">
        <v>492</v>
      </c>
      <c r="T256" s="24" t="s">
        <v>428</v>
      </c>
      <c r="U256" s="24" t="s">
        <v>113</v>
      </c>
    </row>
    <row r="257" spans="3:21" ht="21.9" customHeight="1" x14ac:dyDescent="0.3">
      <c r="C257" s="24">
        <v>287</v>
      </c>
      <c r="D257" s="45">
        <v>44041</v>
      </c>
      <c r="E257" s="24">
        <f t="shared" si="3"/>
        <v>7</v>
      </c>
      <c r="F257" s="46">
        <v>500</v>
      </c>
      <c r="G257" s="24" t="s">
        <v>91</v>
      </c>
      <c r="H257" s="24" t="s">
        <v>194</v>
      </c>
      <c r="I257" s="24" t="s">
        <v>209</v>
      </c>
      <c r="J257" s="24" t="s">
        <v>219</v>
      </c>
      <c r="K257" s="24" t="s">
        <v>187</v>
      </c>
      <c r="L257" s="24" t="s">
        <v>186</v>
      </c>
      <c r="M257" s="24">
        <v>1</v>
      </c>
      <c r="N257" s="24" t="s">
        <v>73</v>
      </c>
      <c r="O257" s="24" t="s">
        <v>268</v>
      </c>
      <c r="P257" s="24" t="s">
        <v>262</v>
      </c>
      <c r="Q257" s="24" t="s">
        <v>288</v>
      </c>
      <c r="R257" s="24" t="s">
        <v>470</v>
      </c>
      <c r="S257" s="24" t="s">
        <v>500</v>
      </c>
      <c r="T257" s="24" t="s">
        <v>473</v>
      </c>
      <c r="U257" s="24" t="s">
        <v>113</v>
      </c>
    </row>
    <row r="258" spans="3:21" ht="21.9" customHeight="1" x14ac:dyDescent="0.3">
      <c r="C258" s="24">
        <v>286</v>
      </c>
      <c r="D258" s="45">
        <v>44040</v>
      </c>
      <c r="E258" s="24">
        <f t="shared" si="3"/>
        <v>7</v>
      </c>
      <c r="F258" s="46">
        <v>2700</v>
      </c>
      <c r="G258" s="24" t="s">
        <v>90</v>
      </c>
      <c r="H258" s="24" t="s">
        <v>188</v>
      </c>
      <c r="I258" s="24" t="s">
        <v>209</v>
      </c>
      <c r="J258" s="24" t="s">
        <v>220</v>
      </c>
      <c r="K258" s="24" t="s">
        <v>187</v>
      </c>
      <c r="L258" s="24" t="s">
        <v>220</v>
      </c>
      <c r="M258" s="24">
        <v>3</v>
      </c>
      <c r="N258" s="24" t="s">
        <v>74</v>
      </c>
      <c r="O258" s="24" t="s">
        <v>270</v>
      </c>
      <c r="P258" s="24" t="s">
        <v>260</v>
      </c>
      <c r="Q258" s="24" t="s">
        <v>288</v>
      </c>
      <c r="R258" s="24" t="s">
        <v>347</v>
      </c>
      <c r="S258" s="24" t="s">
        <v>335</v>
      </c>
      <c r="T258" s="24" t="s">
        <v>49</v>
      </c>
      <c r="U258" s="24" t="s">
        <v>113</v>
      </c>
    </row>
    <row r="259" spans="3:21" ht="21.9" customHeight="1" x14ac:dyDescent="0.3">
      <c r="C259" s="24">
        <v>285</v>
      </c>
      <c r="D259" s="45">
        <v>44039</v>
      </c>
      <c r="E259" s="24">
        <f t="shared" si="3"/>
        <v>7</v>
      </c>
      <c r="F259" s="46">
        <v>120</v>
      </c>
      <c r="G259" s="24" t="s">
        <v>89</v>
      </c>
      <c r="H259" s="24" t="s">
        <v>195</v>
      </c>
      <c r="I259" s="24" t="s">
        <v>207</v>
      </c>
      <c r="J259" s="24" t="s">
        <v>223</v>
      </c>
      <c r="K259" s="24" t="s">
        <v>226</v>
      </c>
      <c r="L259" s="24" t="s">
        <v>220</v>
      </c>
      <c r="M259" s="24">
        <v>2</v>
      </c>
      <c r="N259" s="24" t="s">
        <v>72</v>
      </c>
      <c r="O259" s="24" t="s">
        <v>250</v>
      </c>
      <c r="P259" s="24" t="s">
        <v>253</v>
      </c>
      <c r="Q259" s="24" t="s">
        <v>384</v>
      </c>
      <c r="R259" s="24" t="s">
        <v>58</v>
      </c>
      <c r="S259" s="24" t="s">
        <v>30</v>
      </c>
      <c r="T259" s="24" t="s">
        <v>46</v>
      </c>
      <c r="U259" s="24" t="s">
        <v>116</v>
      </c>
    </row>
    <row r="260" spans="3:21" ht="21.9" customHeight="1" x14ac:dyDescent="0.3">
      <c r="C260" s="24">
        <v>284</v>
      </c>
      <c r="D260" s="45">
        <v>44038</v>
      </c>
      <c r="E260" s="24">
        <f t="shared" si="3"/>
        <v>7</v>
      </c>
      <c r="F260" s="46">
        <v>70</v>
      </c>
      <c r="G260" s="24" t="s">
        <v>88</v>
      </c>
      <c r="H260" s="24" t="s">
        <v>196</v>
      </c>
      <c r="I260" s="24" t="s">
        <v>208</v>
      </c>
      <c r="J260" s="24" t="s">
        <v>216</v>
      </c>
      <c r="K260" s="24" t="s">
        <v>226</v>
      </c>
      <c r="L260" s="24" t="s">
        <v>230</v>
      </c>
      <c r="M260" s="24">
        <v>1</v>
      </c>
      <c r="N260" s="24" t="s">
        <v>74</v>
      </c>
      <c r="O260" s="24" t="s">
        <v>270</v>
      </c>
      <c r="P260" s="24" t="s">
        <v>260</v>
      </c>
      <c r="Q260" s="24" t="s">
        <v>288</v>
      </c>
      <c r="R260" s="24" t="s">
        <v>409</v>
      </c>
      <c r="S260" s="24" t="s">
        <v>489</v>
      </c>
      <c r="T260" s="24" t="s">
        <v>245</v>
      </c>
      <c r="U260" s="24" t="s">
        <v>113</v>
      </c>
    </row>
    <row r="261" spans="3:21" ht="21.9" customHeight="1" x14ac:dyDescent="0.3">
      <c r="C261" s="24">
        <v>283</v>
      </c>
      <c r="D261" s="45">
        <v>44037</v>
      </c>
      <c r="E261" s="24">
        <f t="shared" si="3"/>
        <v>7</v>
      </c>
      <c r="F261" s="46">
        <v>228</v>
      </c>
      <c r="G261" s="24" t="s">
        <v>87</v>
      </c>
      <c r="H261" s="24" t="s">
        <v>197</v>
      </c>
      <c r="I261" s="24" t="s">
        <v>208</v>
      </c>
      <c r="J261" s="24" t="s">
        <v>222</v>
      </c>
      <c r="K261" s="24" t="s">
        <v>226</v>
      </c>
      <c r="L261" s="24" t="s">
        <v>230</v>
      </c>
      <c r="M261" s="24">
        <v>3</v>
      </c>
      <c r="N261" s="24" t="s">
        <v>380</v>
      </c>
      <c r="O261" s="24" t="s">
        <v>381</v>
      </c>
      <c r="P261" s="24" t="s">
        <v>46</v>
      </c>
      <c r="Q261" s="24" t="s">
        <v>384</v>
      </c>
      <c r="R261" s="24" t="s">
        <v>59</v>
      </c>
      <c r="S261" s="24" t="s">
        <v>31</v>
      </c>
      <c r="T261" s="24" t="s">
        <v>327</v>
      </c>
      <c r="U261" s="24" t="s">
        <v>114</v>
      </c>
    </row>
    <row r="262" spans="3:21" ht="21.9" customHeight="1" x14ac:dyDescent="0.3">
      <c r="C262" s="24">
        <v>282</v>
      </c>
      <c r="D262" s="45">
        <v>44036</v>
      </c>
      <c r="E262" s="24">
        <f t="shared" si="3"/>
        <v>7</v>
      </c>
      <c r="F262" s="46">
        <v>600</v>
      </c>
      <c r="G262" s="24" t="s">
        <v>86</v>
      </c>
      <c r="H262" s="24" t="s">
        <v>198</v>
      </c>
      <c r="I262" s="24" t="s">
        <v>207</v>
      </c>
      <c r="J262" s="24" t="s">
        <v>224</v>
      </c>
      <c r="K262" s="24" t="s">
        <v>228</v>
      </c>
      <c r="L262" s="24" t="s">
        <v>230</v>
      </c>
      <c r="M262" s="24">
        <v>1</v>
      </c>
      <c r="N262" s="24" t="s">
        <v>77</v>
      </c>
      <c r="O262" s="24" t="s">
        <v>273</v>
      </c>
      <c r="P262" s="24" t="s">
        <v>241</v>
      </c>
      <c r="Q262" s="24" t="s">
        <v>287</v>
      </c>
      <c r="R262" s="24" t="s">
        <v>437</v>
      </c>
      <c r="S262" s="24" t="s">
        <v>494</v>
      </c>
      <c r="T262" s="24" t="s">
        <v>262</v>
      </c>
      <c r="U262" s="24" t="s">
        <v>113</v>
      </c>
    </row>
    <row r="263" spans="3:21" ht="21.9" customHeight="1" x14ac:dyDescent="0.3">
      <c r="C263" s="24">
        <v>281</v>
      </c>
      <c r="D263" s="45">
        <v>44035</v>
      </c>
      <c r="E263" s="24">
        <f t="shared" si="3"/>
        <v>7</v>
      </c>
      <c r="F263" s="46">
        <v>510</v>
      </c>
      <c r="G263" s="24" t="s">
        <v>85</v>
      </c>
      <c r="H263" s="24" t="s">
        <v>199</v>
      </c>
      <c r="I263" s="24" t="s">
        <v>209</v>
      </c>
      <c r="J263" s="24" t="s">
        <v>216</v>
      </c>
      <c r="K263" s="24" t="s">
        <v>228</v>
      </c>
      <c r="L263" s="24" t="s">
        <v>221</v>
      </c>
      <c r="M263" s="24">
        <v>3</v>
      </c>
      <c r="N263" s="24" t="s">
        <v>51</v>
      </c>
      <c r="O263" s="24" t="s">
        <v>269</v>
      </c>
      <c r="P263" s="24" t="s">
        <v>262</v>
      </c>
      <c r="Q263" s="24" t="s">
        <v>288</v>
      </c>
      <c r="R263" s="24" t="s">
        <v>425</v>
      </c>
      <c r="S263" s="24" t="s">
        <v>492</v>
      </c>
      <c r="T263" s="24" t="s">
        <v>428</v>
      </c>
      <c r="U263" s="24" t="s">
        <v>113</v>
      </c>
    </row>
    <row r="264" spans="3:21" ht="21.9" customHeight="1" x14ac:dyDescent="0.3">
      <c r="C264" s="24">
        <v>280</v>
      </c>
      <c r="D264" s="45">
        <v>44041</v>
      </c>
      <c r="E264" s="24">
        <f t="shared" si="3"/>
        <v>7</v>
      </c>
      <c r="F264" s="46">
        <v>800</v>
      </c>
      <c r="G264" s="24" t="s">
        <v>84</v>
      </c>
      <c r="H264" s="24" t="s">
        <v>200</v>
      </c>
      <c r="I264" s="24" t="s">
        <v>208</v>
      </c>
      <c r="J264" s="24" t="s">
        <v>222</v>
      </c>
      <c r="K264" s="24" t="s">
        <v>228</v>
      </c>
      <c r="L264" s="24" t="s">
        <v>220</v>
      </c>
      <c r="M264" s="24">
        <v>2</v>
      </c>
      <c r="N264" s="24" t="s">
        <v>71</v>
      </c>
      <c r="O264" s="24" t="s">
        <v>271</v>
      </c>
      <c r="P264" s="24" t="s">
        <v>286</v>
      </c>
      <c r="Q264" s="24" t="s">
        <v>288</v>
      </c>
      <c r="R264" s="24" t="s">
        <v>70</v>
      </c>
      <c r="S264" s="24" t="s">
        <v>42</v>
      </c>
      <c r="T264" s="24" t="s">
        <v>47</v>
      </c>
      <c r="U264" s="24" t="s">
        <v>114</v>
      </c>
    </row>
    <row r="265" spans="3:21" ht="21.9" customHeight="1" x14ac:dyDescent="0.3">
      <c r="C265" s="24">
        <v>279</v>
      </c>
      <c r="D265" s="45">
        <v>44040</v>
      </c>
      <c r="E265" s="24">
        <f t="shared" si="3"/>
        <v>7</v>
      </c>
      <c r="F265" s="46">
        <v>1600</v>
      </c>
      <c r="G265" s="24" t="s">
        <v>83</v>
      </c>
      <c r="H265" s="24" t="s">
        <v>201</v>
      </c>
      <c r="I265" s="24" t="s">
        <v>208</v>
      </c>
      <c r="J265" s="24" t="s">
        <v>222</v>
      </c>
      <c r="K265" s="24" t="s">
        <v>226</v>
      </c>
      <c r="L265" s="24" t="s">
        <v>230</v>
      </c>
      <c r="M265" s="24">
        <v>2</v>
      </c>
      <c r="N265" s="24" t="s">
        <v>75</v>
      </c>
      <c r="O265" s="24" t="s">
        <v>26</v>
      </c>
      <c r="P265" s="24" t="s">
        <v>249</v>
      </c>
      <c r="Q265" s="24" t="s">
        <v>289</v>
      </c>
      <c r="R265" s="24" t="s">
        <v>64</v>
      </c>
      <c r="S265" s="24" t="s">
        <v>36</v>
      </c>
      <c r="T265" s="24" t="s">
        <v>327</v>
      </c>
      <c r="U265" s="24" t="s">
        <v>114</v>
      </c>
    </row>
    <row r="266" spans="3:21" ht="21.9" customHeight="1" x14ac:dyDescent="0.3">
      <c r="C266" s="24">
        <v>278</v>
      </c>
      <c r="D266" s="45">
        <v>44039</v>
      </c>
      <c r="E266" s="24">
        <f t="shared" si="3"/>
        <v>7</v>
      </c>
      <c r="F266" s="46">
        <v>400</v>
      </c>
      <c r="G266" s="24" t="s">
        <v>82</v>
      </c>
      <c r="H266" s="24" t="s">
        <v>202</v>
      </c>
      <c r="I266" s="24" t="s">
        <v>207</v>
      </c>
      <c r="J266" s="24" t="s">
        <v>222</v>
      </c>
      <c r="K266" s="24" t="s">
        <v>226</v>
      </c>
      <c r="L266" s="24" t="s">
        <v>230</v>
      </c>
      <c r="M266" s="24">
        <v>1</v>
      </c>
      <c r="N266" s="24" t="s">
        <v>73</v>
      </c>
      <c r="O266" s="24" t="s">
        <v>268</v>
      </c>
      <c r="P266" s="24" t="s">
        <v>262</v>
      </c>
      <c r="Q266" s="24" t="s">
        <v>288</v>
      </c>
      <c r="R266" s="24" t="s">
        <v>50</v>
      </c>
      <c r="S266" s="24" t="s">
        <v>291</v>
      </c>
      <c r="T266" s="24" t="s">
        <v>46</v>
      </c>
      <c r="U266" s="24" t="s">
        <v>294</v>
      </c>
    </row>
    <row r="267" spans="3:21" ht="21.9" customHeight="1" x14ac:dyDescent="0.3">
      <c r="C267" s="24">
        <v>277</v>
      </c>
      <c r="D267" s="45">
        <v>44038</v>
      </c>
      <c r="E267" s="24">
        <f t="shared" si="3"/>
        <v>7</v>
      </c>
      <c r="F267" s="46">
        <v>500</v>
      </c>
      <c r="G267" s="24" t="s">
        <v>81</v>
      </c>
      <c r="H267" s="24" t="s">
        <v>203</v>
      </c>
      <c r="I267" s="24" t="s">
        <v>207</v>
      </c>
      <c r="J267" s="24" t="s">
        <v>223</v>
      </c>
      <c r="K267" s="24" t="s">
        <v>226</v>
      </c>
      <c r="L267" s="24" t="s">
        <v>230</v>
      </c>
      <c r="M267" s="24">
        <v>2</v>
      </c>
      <c r="N267" s="24" t="s">
        <v>71</v>
      </c>
      <c r="O267" s="24" t="s">
        <v>271</v>
      </c>
      <c r="P267" s="24" t="s">
        <v>286</v>
      </c>
      <c r="Q267" s="24" t="s">
        <v>288</v>
      </c>
      <c r="R267" s="24" t="s">
        <v>414</v>
      </c>
      <c r="S267" s="24" t="s">
        <v>490</v>
      </c>
      <c r="T267" s="24" t="s">
        <v>46</v>
      </c>
      <c r="U267" s="24" t="s">
        <v>113</v>
      </c>
    </row>
    <row r="268" spans="3:21" ht="21.9" customHeight="1" x14ac:dyDescent="0.3">
      <c r="C268" s="24">
        <v>276</v>
      </c>
      <c r="D268" s="45">
        <v>44037</v>
      </c>
      <c r="E268" s="24">
        <f t="shared" si="3"/>
        <v>7</v>
      </c>
      <c r="F268" s="46">
        <v>120</v>
      </c>
      <c r="G268" s="24" t="s">
        <v>80</v>
      </c>
      <c r="H268" s="24" t="s">
        <v>204</v>
      </c>
      <c r="I268" s="24" t="s">
        <v>207</v>
      </c>
      <c r="J268" s="24" t="s">
        <v>221</v>
      </c>
      <c r="K268" s="24" t="s">
        <v>229</v>
      </c>
      <c r="L268" s="24" t="s">
        <v>221</v>
      </c>
      <c r="M268" s="24">
        <v>3</v>
      </c>
      <c r="N268" s="24" t="s">
        <v>75</v>
      </c>
      <c r="O268" s="24" t="s">
        <v>26</v>
      </c>
      <c r="P268" s="24" t="s">
        <v>249</v>
      </c>
      <c r="Q268" s="24" t="s">
        <v>289</v>
      </c>
      <c r="R268" s="24" t="s">
        <v>54</v>
      </c>
      <c r="S268" s="24" t="s">
        <v>26</v>
      </c>
      <c r="T268" s="24" t="s">
        <v>46</v>
      </c>
      <c r="U268" s="24" t="s">
        <v>114</v>
      </c>
    </row>
    <row r="269" spans="3:21" ht="21.9" customHeight="1" x14ac:dyDescent="0.3">
      <c r="C269" s="24">
        <v>275</v>
      </c>
      <c r="D269" s="45">
        <v>44036</v>
      </c>
      <c r="E269" s="24">
        <f t="shared" si="3"/>
        <v>7</v>
      </c>
      <c r="F269" s="46">
        <v>70</v>
      </c>
      <c r="G269" s="24" t="s">
        <v>79</v>
      </c>
      <c r="H269" s="24" t="s">
        <v>205</v>
      </c>
      <c r="I269" s="24" t="s">
        <v>207</v>
      </c>
      <c r="J269" s="24" t="s">
        <v>221</v>
      </c>
      <c r="K269" s="24" t="s">
        <v>229</v>
      </c>
      <c r="L269" s="24" t="s">
        <v>221</v>
      </c>
      <c r="M269" s="24">
        <v>2</v>
      </c>
      <c r="N269" s="24" t="s">
        <v>75</v>
      </c>
      <c r="O269" s="24" t="s">
        <v>26</v>
      </c>
      <c r="P269" s="24" t="s">
        <v>249</v>
      </c>
      <c r="Q269" s="24" t="s">
        <v>289</v>
      </c>
      <c r="R269" s="24" t="s">
        <v>53</v>
      </c>
      <c r="S269" s="24" t="s">
        <v>25</v>
      </c>
      <c r="T269" s="24" t="s">
        <v>45</v>
      </c>
      <c r="U269" s="24" t="s">
        <v>113</v>
      </c>
    </row>
    <row r="270" spans="3:21" ht="21.9" customHeight="1" x14ac:dyDescent="0.3">
      <c r="C270" s="24">
        <v>274</v>
      </c>
      <c r="D270" s="45">
        <v>44035</v>
      </c>
      <c r="E270" s="24">
        <f t="shared" si="3"/>
        <v>7</v>
      </c>
      <c r="F270" s="46">
        <v>60</v>
      </c>
      <c r="G270" s="24" t="s">
        <v>78</v>
      </c>
      <c r="H270" s="24" t="s">
        <v>206</v>
      </c>
      <c r="I270" s="24" t="s">
        <v>207</v>
      </c>
      <c r="J270" s="24" t="s">
        <v>221</v>
      </c>
      <c r="K270" s="24" t="s">
        <v>229</v>
      </c>
      <c r="L270" s="24" t="s">
        <v>221</v>
      </c>
      <c r="M270" s="24">
        <v>2</v>
      </c>
      <c r="N270" s="24" t="s">
        <v>51</v>
      </c>
      <c r="O270" s="24" t="s">
        <v>269</v>
      </c>
      <c r="P270" s="24" t="s">
        <v>262</v>
      </c>
      <c r="Q270" s="24" t="s">
        <v>288</v>
      </c>
      <c r="R270" s="24" t="s">
        <v>398</v>
      </c>
      <c r="S270" s="24" t="s">
        <v>487</v>
      </c>
      <c r="T270" s="24" t="s">
        <v>401</v>
      </c>
      <c r="U270" s="24" t="s">
        <v>113</v>
      </c>
    </row>
    <row r="271" spans="3:21" ht="21.9" customHeight="1" x14ac:dyDescent="0.3">
      <c r="C271" s="24">
        <v>273</v>
      </c>
      <c r="D271" s="45">
        <v>44034</v>
      </c>
      <c r="E271" s="24">
        <f t="shared" si="3"/>
        <v>7</v>
      </c>
      <c r="F271" s="46">
        <v>1600</v>
      </c>
      <c r="G271" s="24" t="s">
        <v>121</v>
      </c>
      <c r="H271" s="24" t="s">
        <v>183</v>
      </c>
      <c r="I271" s="24" t="s">
        <v>207</v>
      </c>
      <c r="J271" s="24" t="s">
        <v>210</v>
      </c>
      <c r="K271" s="24" t="s">
        <v>184</v>
      </c>
      <c r="L271" s="24" t="s">
        <v>230</v>
      </c>
      <c r="M271" s="24">
        <v>1</v>
      </c>
      <c r="N271" s="24" t="s">
        <v>51</v>
      </c>
      <c r="O271" s="24" t="s">
        <v>269</v>
      </c>
      <c r="P271" s="24" t="s">
        <v>262</v>
      </c>
      <c r="Q271" s="24" t="s">
        <v>288</v>
      </c>
      <c r="R271" s="24" t="s">
        <v>340</v>
      </c>
      <c r="S271" s="24" t="s">
        <v>317</v>
      </c>
      <c r="T271" s="24" t="s">
        <v>327</v>
      </c>
      <c r="U271" s="24" t="s">
        <v>114</v>
      </c>
    </row>
    <row r="272" spans="3:21" ht="21.9" customHeight="1" x14ac:dyDescent="0.3">
      <c r="C272" s="24">
        <v>272</v>
      </c>
      <c r="D272" s="45">
        <v>44033</v>
      </c>
      <c r="E272" s="24">
        <f t="shared" si="3"/>
        <v>7</v>
      </c>
      <c r="F272" s="46">
        <v>5600</v>
      </c>
      <c r="G272" s="24" t="s">
        <v>120</v>
      </c>
      <c r="H272" s="24" t="s">
        <v>185</v>
      </c>
      <c r="I272" s="24" t="s">
        <v>207</v>
      </c>
      <c r="J272" s="24" t="s">
        <v>210</v>
      </c>
      <c r="K272" s="24" t="s">
        <v>184</v>
      </c>
      <c r="L272" s="24" t="s">
        <v>230</v>
      </c>
      <c r="M272" s="24">
        <v>2</v>
      </c>
      <c r="N272" s="24" t="s">
        <v>76</v>
      </c>
      <c r="O272" s="24" t="s">
        <v>272</v>
      </c>
      <c r="P272" s="24" t="s">
        <v>245</v>
      </c>
      <c r="Q272" s="24" t="s">
        <v>288</v>
      </c>
      <c r="R272" s="24" t="s">
        <v>393</v>
      </c>
      <c r="S272" s="24" t="s">
        <v>486</v>
      </c>
      <c r="T272" s="24" t="s">
        <v>395</v>
      </c>
      <c r="U272" s="24" t="s">
        <v>113</v>
      </c>
    </row>
    <row r="273" spans="3:21" ht="21.9" customHeight="1" x14ac:dyDescent="0.3">
      <c r="C273" s="24">
        <v>271</v>
      </c>
      <c r="D273" s="45">
        <v>44032</v>
      </c>
      <c r="E273" s="24">
        <f t="shared" si="3"/>
        <v>7</v>
      </c>
      <c r="F273" s="46">
        <v>80</v>
      </c>
      <c r="G273" s="24" t="s">
        <v>97</v>
      </c>
      <c r="H273" s="24" t="s">
        <v>189</v>
      </c>
      <c r="I273" s="24" t="s">
        <v>207</v>
      </c>
      <c r="J273" s="24" t="s">
        <v>211</v>
      </c>
      <c r="K273" s="24" t="s">
        <v>227</v>
      </c>
      <c r="L273" s="24" t="s">
        <v>186</v>
      </c>
      <c r="M273" s="24">
        <v>1</v>
      </c>
      <c r="N273" s="24" t="s">
        <v>74</v>
      </c>
      <c r="O273" s="24" t="s">
        <v>270</v>
      </c>
      <c r="P273" s="24" t="s">
        <v>260</v>
      </c>
      <c r="Q273" s="24" t="s">
        <v>288</v>
      </c>
      <c r="R273" s="24" t="s">
        <v>58</v>
      </c>
      <c r="S273" s="24" t="s">
        <v>30</v>
      </c>
      <c r="T273" s="24" t="s">
        <v>46</v>
      </c>
      <c r="U273" s="24" t="s">
        <v>116</v>
      </c>
    </row>
    <row r="274" spans="3:21" ht="21.9" customHeight="1" x14ac:dyDescent="0.3">
      <c r="C274" s="24">
        <v>270</v>
      </c>
      <c r="D274" s="45">
        <v>44031</v>
      </c>
      <c r="E274" s="24">
        <f t="shared" si="3"/>
        <v>7</v>
      </c>
      <c r="F274" s="46">
        <v>180</v>
      </c>
      <c r="G274" s="24" t="s">
        <v>96</v>
      </c>
      <c r="H274" s="24" t="s">
        <v>190</v>
      </c>
      <c r="I274" s="24" t="s">
        <v>208</v>
      </c>
      <c r="J274" s="24" t="s">
        <v>212</v>
      </c>
      <c r="K274" s="24" t="s">
        <v>227</v>
      </c>
      <c r="L274" s="24" t="s">
        <v>223</v>
      </c>
      <c r="M274" s="24">
        <v>3</v>
      </c>
      <c r="N274" s="24" t="s">
        <v>72</v>
      </c>
      <c r="O274" s="24" t="s">
        <v>250</v>
      </c>
      <c r="P274" s="24" t="s">
        <v>253</v>
      </c>
      <c r="Q274" s="24" t="s">
        <v>384</v>
      </c>
      <c r="R274" s="24" t="s">
        <v>70</v>
      </c>
      <c r="S274" s="24" t="s">
        <v>42</v>
      </c>
      <c r="T274" s="24" t="s">
        <v>47</v>
      </c>
      <c r="U274" s="24" t="s">
        <v>114</v>
      </c>
    </row>
    <row r="275" spans="3:21" ht="21.9" customHeight="1" x14ac:dyDescent="0.3">
      <c r="C275" s="24">
        <v>269</v>
      </c>
      <c r="D275" s="45">
        <v>44030</v>
      </c>
      <c r="E275" s="24">
        <f t="shared" si="3"/>
        <v>7</v>
      </c>
      <c r="F275" s="46">
        <v>300</v>
      </c>
      <c r="G275" s="24" t="s">
        <v>95</v>
      </c>
      <c r="H275" s="24" t="s">
        <v>191</v>
      </c>
      <c r="I275" s="24" t="s">
        <v>207</v>
      </c>
      <c r="J275" s="24" t="s">
        <v>222</v>
      </c>
      <c r="K275" s="24" t="s">
        <v>226</v>
      </c>
      <c r="L275" s="24" t="s">
        <v>231</v>
      </c>
      <c r="M275" s="24">
        <v>3</v>
      </c>
      <c r="N275" s="24" t="s">
        <v>76</v>
      </c>
      <c r="O275" s="24" t="s">
        <v>272</v>
      </c>
      <c r="P275" s="24" t="s">
        <v>245</v>
      </c>
      <c r="Q275" s="24" t="s">
        <v>288</v>
      </c>
      <c r="R275" s="24" t="s">
        <v>431</v>
      </c>
      <c r="S275" s="24" t="s">
        <v>493</v>
      </c>
      <c r="T275" s="24" t="s">
        <v>434</v>
      </c>
      <c r="U275" s="24" t="s">
        <v>113</v>
      </c>
    </row>
    <row r="276" spans="3:21" ht="21.9" customHeight="1" x14ac:dyDescent="0.3">
      <c r="C276" s="24">
        <v>268</v>
      </c>
      <c r="D276" s="45">
        <v>44029</v>
      </c>
      <c r="E276" s="24">
        <f t="shared" si="3"/>
        <v>7</v>
      </c>
      <c r="F276" s="46">
        <v>300</v>
      </c>
      <c r="G276" s="24" t="s">
        <v>94</v>
      </c>
      <c r="H276" s="24" t="s">
        <v>192</v>
      </c>
      <c r="I276" s="24" t="s">
        <v>207</v>
      </c>
      <c r="J276" s="24" t="s">
        <v>216</v>
      </c>
      <c r="K276" s="24" t="s">
        <v>187</v>
      </c>
      <c r="L276" s="24" t="s">
        <v>232</v>
      </c>
      <c r="M276" s="24">
        <v>1</v>
      </c>
      <c r="N276" s="24" t="s">
        <v>73</v>
      </c>
      <c r="O276" s="24" t="s">
        <v>268</v>
      </c>
      <c r="P276" s="24" t="s">
        <v>262</v>
      </c>
      <c r="Q276" s="24" t="s">
        <v>288</v>
      </c>
      <c r="R276" s="24" t="s">
        <v>54</v>
      </c>
      <c r="S276" s="24" t="s">
        <v>26</v>
      </c>
      <c r="T276" s="24" t="s">
        <v>46</v>
      </c>
      <c r="U276" s="24" t="s">
        <v>114</v>
      </c>
    </row>
    <row r="277" spans="3:21" ht="21.9" customHeight="1" x14ac:dyDescent="0.3">
      <c r="C277" s="24">
        <v>267</v>
      </c>
      <c r="D277" s="45">
        <v>44028</v>
      </c>
      <c r="E277" s="24">
        <f t="shared" si="3"/>
        <v>7</v>
      </c>
      <c r="F277" s="46">
        <v>1050</v>
      </c>
      <c r="G277" s="24" t="s">
        <v>93</v>
      </c>
      <c r="H277" s="24" t="s">
        <v>193</v>
      </c>
      <c r="I277" s="24" t="s">
        <v>208</v>
      </c>
      <c r="J277" s="24" t="s">
        <v>218</v>
      </c>
      <c r="K277" s="24" t="s">
        <v>187</v>
      </c>
      <c r="L277" s="24" t="s">
        <v>186</v>
      </c>
      <c r="M277" s="24">
        <v>3</v>
      </c>
      <c r="N277" s="24" t="s">
        <v>76</v>
      </c>
      <c r="O277" s="24" t="s">
        <v>272</v>
      </c>
      <c r="P277" s="24" t="s">
        <v>245</v>
      </c>
      <c r="Q277" s="24" t="s">
        <v>288</v>
      </c>
      <c r="R277" s="24" t="s">
        <v>346</v>
      </c>
      <c r="S277" s="24" t="s">
        <v>333</v>
      </c>
      <c r="T277" s="24" t="s">
        <v>47</v>
      </c>
      <c r="U277" s="24" t="s">
        <v>114</v>
      </c>
    </row>
    <row r="278" spans="3:21" ht="21.9" customHeight="1" x14ac:dyDescent="0.3">
      <c r="C278" s="24">
        <v>266</v>
      </c>
      <c r="D278" s="45">
        <v>44027</v>
      </c>
      <c r="E278" s="24">
        <f t="shared" si="3"/>
        <v>7</v>
      </c>
      <c r="F278" s="46">
        <v>540</v>
      </c>
      <c r="G278" s="24" t="s">
        <v>92</v>
      </c>
      <c r="H278" s="24" t="s">
        <v>225</v>
      </c>
      <c r="I278" s="24" t="s">
        <v>207</v>
      </c>
      <c r="J278" s="24" t="s">
        <v>219</v>
      </c>
      <c r="K278" s="24" t="s">
        <v>226</v>
      </c>
      <c r="L278" s="24" t="s">
        <v>186</v>
      </c>
      <c r="M278" s="24">
        <v>2</v>
      </c>
      <c r="N278" s="24" t="s">
        <v>71</v>
      </c>
      <c r="O278" s="24" t="s">
        <v>271</v>
      </c>
      <c r="P278" s="24" t="s">
        <v>286</v>
      </c>
      <c r="Q278" s="24" t="s">
        <v>288</v>
      </c>
      <c r="R278" s="24" t="s">
        <v>70</v>
      </c>
      <c r="S278" s="24" t="s">
        <v>42</v>
      </c>
      <c r="T278" s="24" t="s">
        <v>47</v>
      </c>
      <c r="U278" s="24" t="s">
        <v>114</v>
      </c>
    </row>
    <row r="279" spans="3:21" ht="21.9" customHeight="1" x14ac:dyDescent="0.3">
      <c r="C279" s="24">
        <v>265</v>
      </c>
      <c r="D279" s="45">
        <v>44026</v>
      </c>
      <c r="E279" s="24">
        <f t="shared" si="3"/>
        <v>7</v>
      </c>
      <c r="F279" s="46">
        <v>500</v>
      </c>
      <c r="G279" s="24" t="s">
        <v>91</v>
      </c>
      <c r="H279" s="24" t="s">
        <v>194</v>
      </c>
      <c r="I279" s="24" t="s">
        <v>209</v>
      </c>
      <c r="J279" s="24" t="s">
        <v>219</v>
      </c>
      <c r="K279" s="24" t="s">
        <v>187</v>
      </c>
      <c r="L279" s="24" t="s">
        <v>186</v>
      </c>
      <c r="M279" s="24">
        <v>1</v>
      </c>
      <c r="N279" s="24" t="s">
        <v>72</v>
      </c>
      <c r="O279" s="24" t="s">
        <v>250</v>
      </c>
      <c r="P279" s="24" t="s">
        <v>253</v>
      </c>
      <c r="Q279" s="24" t="s">
        <v>384</v>
      </c>
      <c r="R279" s="24" t="s">
        <v>69</v>
      </c>
      <c r="S279" s="24" t="s">
        <v>41</v>
      </c>
      <c r="T279" s="24" t="s">
        <v>44</v>
      </c>
      <c r="U279" s="24" t="s">
        <v>113</v>
      </c>
    </row>
    <row r="280" spans="3:21" ht="21.9" customHeight="1" x14ac:dyDescent="0.3">
      <c r="C280" s="24">
        <v>264</v>
      </c>
      <c r="D280" s="45">
        <v>44025</v>
      </c>
      <c r="E280" s="24">
        <f t="shared" si="3"/>
        <v>7</v>
      </c>
      <c r="F280" s="46">
        <v>1800</v>
      </c>
      <c r="G280" s="24" t="s">
        <v>90</v>
      </c>
      <c r="H280" s="24" t="s">
        <v>188</v>
      </c>
      <c r="I280" s="24" t="s">
        <v>209</v>
      </c>
      <c r="J280" s="24" t="s">
        <v>220</v>
      </c>
      <c r="K280" s="24" t="s">
        <v>187</v>
      </c>
      <c r="L280" s="24" t="s">
        <v>220</v>
      </c>
      <c r="M280" s="24">
        <v>2</v>
      </c>
      <c r="N280" s="24" t="s">
        <v>75</v>
      </c>
      <c r="O280" s="24" t="s">
        <v>26</v>
      </c>
      <c r="P280" s="24" t="s">
        <v>249</v>
      </c>
      <c r="Q280" s="24" t="s">
        <v>289</v>
      </c>
      <c r="R280" s="24" t="s">
        <v>69</v>
      </c>
      <c r="S280" s="24" t="s">
        <v>41</v>
      </c>
      <c r="T280" s="24" t="s">
        <v>44</v>
      </c>
      <c r="U280" s="24" t="s">
        <v>113</v>
      </c>
    </row>
    <row r="281" spans="3:21" ht="21.9" customHeight="1" x14ac:dyDescent="0.3">
      <c r="C281" s="24">
        <v>263</v>
      </c>
      <c r="D281" s="45">
        <v>44024</v>
      </c>
      <c r="E281" s="24">
        <f t="shared" si="3"/>
        <v>7</v>
      </c>
      <c r="F281" s="46">
        <v>60</v>
      </c>
      <c r="G281" s="24" t="s">
        <v>89</v>
      </c>
      <c r="H281" s="24" t="s">
        <v>195</v>
      </c>
      <c r="I281" s="24" t="s">
        <v>207</v>
      </c>
      <c r="J281" s="24" t="s">
        <v>223</v>
      </c>
      <c r="K281" s="24" t="s">
        <v>226</v>
      </c>
      <c r="L281" s="24" t="s">
        <v>220</v>
      </c>
      <c r="M281" s="24">
        <v>1</v>
      </c>
      <c r="N281" s="24" t="s">
        <v>75</v>
      </c>
      <c r="O281" s="24" t="s">
        <v>26</v>
      </c>
      <c r="P281" s="24" t="s">
        <v>249</v>
      </c>
      <c r="Q281" s="24" t="s">
        <v>289</v>
      </c>
      <c r="R281" s="24" t="s">
        <v>342</v>
      </c>
      <c r="S281" s="24" t="s">
        <v>323</v>
      </c>
      <c r="T281" s="24" t="s">
        <v>46</v>
      </c>
      <c r="U281" s="24" t="s">
        <v>115</v>
      </c>
    </row>
    <row r="282" spans="3:21" ht="21.9" customHeight="1" x14ac:dyDescent="0.3">
      <c r="C282" s="24">
        <v>262</v>
      </c>
      <c r="D282" s="45">
        <v>44023</v>
      </c>
      <c r="E282" s="24">
        <f t="shared" si="3"/>
        <v>7</v>
      </c>
      <c r="F282" s="46">
        <v>140</v>
      </c>
      <c r="G282" s="24" t="s">
        <v>88</v>
      </c>
      <c r="H282" s="24" t="s">
        <v>196</v>
      </c>
      <c r="I282" s="24" t="s">
        <v>208</v>
      </c>
      <c r="J282" s="24" t="s">
        <v>216</v>
      </c>
      <c r="K282" s="24" t="s">
        <v>226</v>
      </c>
      <c r="L282" s="24" t="s">
        <v>230</v>
      </c>
      <c r="M282" s="24">
        <v>2</v>
      </c>
      <c r="N282" s="24" t="s">
        <v>74</v>
      </c>
      <c r="O282" s="24" t="s">
        <v>270</v>
      </c>
      <c r="P282" s="24" t="s">
        <v>260</v>
      </c>
      <c r="Q282" s="24" t="s">
        <v>288</v>
      </c>
      <c r="R282" s="24" t="s">
        <v>69</v>
      </c>
      <c r="S282" s="24" t="s">
        <v>41</v>
      </c>
      <c r="T282" s="24" t="s">
        <v>44</v>
      </c>
      <c r="U282" s="24" t="s">
        <v>113</v>
      </c>
    </row>
    <row r="283" spans="3:21" ht="21.9" customHeight="1" x14ac:dyDescent="0.3">
      <c r="C283" s="24">
        <v>261</v>
      </c>
      <c r="D283" s="45">
        <v>44022</v>
      </c>
      <c r="E283" s="24">
        <f t="shared" si="3"/>
        <v>7</v>
      </c>
      <c r="F283" s="46">
        <v>152</v>
      </c>
      <c r="G283" s="24" t="s">
        <v>87</v>
      </c>
      <c r="H283" s="24" t="s">
        <v>197</v>
      </c>
      <c r="I283" s="24" t="s">
        <v>208</v>
      </c>
      <c r="J283" s="24" t="s">
        <v>222</v>
      </c>
      <c r="K283" s="24" t="s">
        <v>226</v>
      </c>
      <c r="L283" s="24" t="s">
        <v>230</v>
      </c>
      <c r="M283" s="24">
        <v>2</v>
      </c>
      <c r="N283" s="24" t="s">
        <v>73</v>
      </c>
      <c r="O283" s="24" t="s">
        <v>268</v>
      </c>
      <c r="P283" s="24" t="s">
        <v>262</v>
      </c>
      <c r="Q283" s="24" t="s">
        <v>288</v>
      </c>
      <c r="R283" s="24" t="s">
        <v>419</v>
      </c>
      <c r="S283" s="24" t="s">
        <v>491</v>
      </c>
      <c r="T283" s="24" t="s">
        <v>422</v>
      </c>
      <c r="U283" s="24" t="s">
        <v>113</v>
      </c>
    </row>
    <row r="284" spans="3:21" ht="21.9" customHeight="1" x14ac:dyDescent="0.3">
      <c r="C284" s="24">
        <v>260</v>
      </c>
      <c r="D284" s="45">
        <v>44021</v>
      </c>
      <c r="E284" s="24">
        <f t="shared" si="3"/>
        <v>7</v>
      </c>
      <c r="F284" s="46">
        <v>1800</v>
      </c>
      <c r="G284" s="24" t="s">
        <v>86</v>
      </c>
      <c r="H284" s="24" t="s">
        <v>198</v>
      </c>
      <c r="I284" s="24" t="s">
        <v>207</v>
      </c>
      <c r="J284" s="24" t="s">
        <v>224</v>
      </c>
      <c r="K284" s="24" t="s">
        <v>228</v>
      </c>
      <c r="L284" s="24" t="s">
        <v>230</v>
      </c>
      <c r="M284" s="24">
        <v>3</v>
      </c>
      <c r="N284" s="24" t="s">
        <v>75</v>
      </c>
      <c r="O284" s="24" t="s">
        <v>26</v>
      </c>
      <c r="P284" s="24" t="s">
        <v>249</v>
      </c>
      <c r="Q284" s="24" t="s">
        <v>289</v>
      </c>
      <c r="R284" s="24" t="s">
        <v>388</v>
      </c>
      <c r="S284" s="24" t="s">
        <v>485</v>
      </c>
      <c r="T284" s="24" t="s">
        <v>390</v>
      </c>
      <c r="U284" s="24" t="s">
        <v>113</v>
      </c>
    </row>
    <row r="285" spans="3:21" ht="21.9" customHeight="1" x14ac:dyDescent="0.3">
      <c r="C285" s="24">
        <v>259</v>
      </c>
      <c r="D285" s="45">
        <v>44020</v>
      </c>
      <c r="E285" s="24">
        <f t="shared" si="3"/>
        <v>7</v>
      </c>
      <c r="F285" s="46">
        <v>510</v>
      </c>
      <c r="G285" s="24" t="s">
        <v>85</v>
      </c>
      <c r="H285" s="24" t="s">
        <v>199</v>
      </c>
      <c r="I285" s="24" t="s">
        <v>209</v>
      </c>
      <c r="J285" s="24" t="s">
        <v>216</v>
      </c>
      <c r="K285" s="24" t="s">
        <v>228</v>
      </c>
      <c r="L285" s="24" t="s">
        <v>221</v>
      </c>
      <c r="M285" s="24">
        <v>3</v>
      </c>
      <c r="N285" s="24" t="s">
        <v>77</v>
      </c>
      <c r="O285" s="24" t="s">
        <v>273</v>
      </c>
      <c r="P285" s="24" t="s">
        <v>241</v>
      </c>
      <c r="Q285" s="24" t="s">
        <v>287</v>
      </c>
      <c r="R285" s="24" t="s">
        <v>50</v>
      </c>
      <c r="S285" s="24" t="s">
        <v>291</v>
      </c>
      <c r="T285" s="24" t="s">
        <v>46</v>
      </c>
      <c r="U285" s="24" t="s">
        <v>294</v>
      </c>
    </row>
    <row r="286" spans="3:21" ht="21.9" customHeight="1" x14ac:dyDescent="0.3">
      <c r="C286" s="24">
        <v>258</v>
      </c>
      <c r="D286" s="45">
        <v>44019</v>
      </c>
      <c r="E286" s="24">
        <f t="shared" si="3"/>
        <v>7</v>
      </c>
      <c r="F286" s="46">
        <v>800</v>
      </c>
      <c r="G286" s="24" t="s">
        <v>84</v>
      </c>
      <c r="H286" s="24" t="s">
        <v>200</v>
      </c>
      <c r="I286" s="24" t="s">
        <v>208</v>
      </c>
      <c r="J286" s="24" t="s">
        <v>222</v>
      </c>
      <c r="K286" s="24" t="s">
        <v>228</v>
      </c>
      <c r="L286" s="24" t="s">
        <v>220</v>
      </c>
      <c r="M286" s="24">
        <v>2</v>
      </c>
      <c r="N286" s="24" t="s">
        <v>75</v>
      </c>
      <c r="O286" s="24" t="s">
        <v>26</v>
      </c>
      <c r="P286" s="24" t="s">
        <v>249</v>
      </c>
      <c r="Q286" s="24" t="s">
        <v>289</v>
      </c>
      <c r="R286" s="24" t="s">
        <v>67</v>
      </c>
      <c r="S286" s="24" t="s">
        <v>39</v>
      </c>
      <c r="T286" s="24" t="s">
        <v>45</v>
      </c>
      <c r="U286" s="24" t="s">
        <v>116</v>
      </c>
    </row>
    <row r="287" spans="3:21" ht="21.9" customHeight="1" x14ac:dyDescent="0.3">
      <c r="C287" s="24">
        <v>257</v>
      </c>
      <c r="D287" s="45">
        <v>44018</v>
      </c>
      <c r="E287" s="24">
        <f t="shared" si="3"/>
        <v>7</v>
      </c>
      <c r="F287" s="46">
        <v>800</v>
      </c>
      <c r="G287" s="24" t="s">
        <v>83</v>
      </c>
      <c r="H287" s="24" t="s">
        <v>201</v>
      </c>
      <c r="I287" s="24" t="s">
        <v>208</v>
      </c>
      <c r="J287" s="24" t="s">
        <v>222</v>
      </c>
      <c r="K287" s="24" t="s">
        <v>226</v>
      </c>
      <c r="L287" s="24" t="s">
        <v>230</v>
      </c>
      <c r="M287" s="24">
        <v>1</v>
      </c>
      <c r="N287" s="24" t="s">
        <v>72</v>
      </c>
      <c r="O287" s="24" t="s">
        <v>250</v>
      </c>
      <c r="P287" s="24" t="s">
        <v>253</v>
      </c>
      <c r="Q287" s="24" t="s">
        <v>384</v>
      </c>
      <c r="R287" s="24" t="s">
        <v>59</v>
      </c>
      <c r="S287" s="24" t="s">
        <v>31</v>
      </c>
      <c r="T287" s="24" t="s">
        <v>327</v>
      </c>
      <c r="U287" s="24" t="s">
        <v>114</v>
      </c>
    </row>
    <row r="288" spans="3:21" ht="21.9" customHeight="1" x14ac:dyDescent="0.3">
      <c r="C288" s="24">
        <v>256</v>
      </c>
      <c r="D288" s="45">
        <v>44017</v>
      </c>
      <c r="E288" s="24">
        <f t="shared" si="3"/>
        <v>7</v>
      </c>
      <c r="F288" s="46">
        <v>1200</v>
      </c>
      <c r="G288" s="24" t="s">
        <v>82</v>
      </c>
      <c r="H288" s="24" t="s">
        <v>202</v>
      </c>
      <c r="I288" s="24" t="s">
        <v>207</v>
      </c>
      <c r="J288" s="24" t="s">
        <v>222</v>
      </c>
      <c r="K288" s="24" t="s">
        <v>226</v>
      </c>
      <c r="L288" s="24" t="s">
        <v>230</v>
      </c>
      <c r="M288" s="24">
        <v>3</v>
      </c>
      <c r="N288" s="24" t="s">
        <v>77</v>
      </c>
      <c r="O288" s="24" t="s">
        <v>273</v>
      </c>
      <c r="P288" s="24" t="s">
        <v>241</v>
      </c>
      <c r="Q288" s="24" t="s">
        <v>287</v>
      </c>
      <c r="R288" s="24" t="s">
        <v>442</v>
      </c>
      <c r="S288" s="24" t="s">
        <v>495</v>
      </c>
      <c r="T288" s="24" t="s">
        <v>445</v>
      </c>
      <c r="U288" s="24" t="s">
        <v>113</v>
      </c>
    </row>
    <row r="289" spans="3:21" ht="21.9" customHeight="1" x14ac:dyDescent="0.3">
      <c r="C289" s="24">
        <v>255</v>
      </c>
      <c r="D289" s="45">
        <v>44016</v>
      </c>
      <c r="E289" s="24">
        <f t="shared" si="3"/>
        <v>7</v>
      </c>
      <c r="F289" s="46">
        <v>750</v>
      </c>
      <c r="G289" s="24" t="s">
        <v>81</v>
      </c>
      <c r="H289" s="24" t="s">
        <v>203</v>
      </c>
      <c r="I289" s="24" t="s">
        <v>207</v>
      </c>
      <c r="J289" s="24" t="s">
        <v>223</v>
      </c>
      <c r="K289" s="24" t="s">
        <v>226</v>
      </c>
      <c r="L289" s="24" t="s">
        <v>230</v>
      </c>
      <c r="M289" s="24">
        <v>3</v>
      </c>
      <c r="N289" s="24" t="s">
        <v>72</v>
      </c>
      <c r="O289" s="24" t="s">
        <v>250</v>
      </c>
      <c r="P289" s="24" t="s">
        <v>253</v>
      </c>
      <c r="Q289" s="24" t="s">
        <v>384</v>
      </c>
      <c r="R289" s="24" t="s">
        <v>404</v>
      </c>
      <c r="S289" s="24" t="s">
        <v>488</v>
      </c>
      <c r="T289" s="24" t="s">
        <v>241</v>
      </c>
      <c r="U289" s="24" t="s">
        <v>518</v>
      </c>
    </row>
    <row r="290" spans="3:21" ht="21.9" customHeight="1" x14ac:dyDescent="0.3">
      <c r="C290" s="24">
        <v>254</v>
      </c>
      <c r="D290" s="45">
        <v>44015</v>
      </c>
      <c r="E290" s="24">
        <f t="shared" si="3"/>
        <v>7</v>
      </c>
      <c r="F290" s="46">
        <v>120</v>
      </c>
      <c r="G290" s="24" t="s">
        <v>80</v>
      </c>
      <c r="H290" s="24" t="s">
        <v>204</v>
      </c>
      <c r="I290" s="24" t="s">
        <v>207</v>
      </c>
      <c r="J290" s="24" t="s">
        <v>221</v>
      </c>
      <c r="K290" s="24" t="s">
        <v>229</v>
      </c>
      <c r="L290" s="24" t="s">
        <v>221</v>
      </c>
      <c r="M290" s="24">
        <v>3</v>
      </c>
      <c r="N290" s="24" t="s">
        <v>75</v>
      </c>
      <c r="O290" s="24" t="s">
        <v>26</v>
      </c>
      <c r="P290" s="24" t="s">
        <v>249</v>
      </c>
      <c r="Q290" s="24" t="s">
        <v>289</v>
      </c>
      <c r="R290" s="24" t="s">
        <v>347</v>
      </c>
      <c r="S290" s="24" t="s">
        <v>335</v>
      </c>
      <c r="T290" s="24" t="s">
        <v>49</v>
      </c>
      <c r="U290" s="24" t="s">
        <v>113</v>
      </c>
    </row>
    <row r="291" spans="3:21" ht="21.9" customHeight="1" x14ac:dyDescent="0.3">
      <c r="C291" s="24">
        <v>253</v>
      </c>
      <c r="D291" s="45">
        <v>44014</v>
      </c>
      <c r="E291" s="24">
        <f t="shared" si="3"/>
        <v>7</v>
      </c>
      <c r="F291" s="46">
        <v>35</v>
      </c>
      <c r="G291" s="24" t="s">
        <v>79</v>
      </c>
      <c r="H291" s="24" t="s">
        <v>205</v>
      </c>
      <c r="I291" s="24" t="s">
        <v>207</v>
      </c>
      <c r="J291" s="24" t="s">
        <v>221</v>
      </c>
      <c r="K291" s="24" t="s">
        <v>229</v>
      </c>
      <c r="L291" s="24" t="s">
        <v>221</v>
      </c>
      <c r="M291" s="24">
        <v>1</v>
      </c>
      <c r="N291" s="24" t="s">
        <v>76</v>
      </c>
      <c r="O291" s="24" t="s">
        <v>272</v>
      </c>
      <c r="P291" s="24" t="s">
        <v>245</v>
      </c>
      <c r="Q291" s="24" t="s">
        <v>288</v>
      </c>
      <c r="R291" s="24" t="s">
        <v>393</v>
      </c>
      <c r="S291" s="24" t="s">
        <v>486</v>
      </c>
      <c r="T291" s="24" t="s">
        <v>395</v>
      </c>
      <c r="U291" s="24" t="s">
        <v>113</v>
      </c>
    </row>
    <row r="292" spans="3:21" ht="21.9" customHeight="1" x14ac:dyDescent="0.3">
      <c r="C292" s="24">
        <v>252</v>
      </c>
      <c r="D292" s="45">
        <v>44013</v>
      </c>
      <c r="E292" s="24">
        <f t="shared" si="3"/>
        <v>7</v>
      </c>
      <c r="F292" s="46">
        <v>30</v>
      </c>
      <c r="G292" s="24" t="s">
        <v>78</v>
      </c>
      <c r="H292" s="24" t="s">
        <v>206</v>
      </c>
      <c r="I292" s="24" t="s">
        <v>207</v>
      </c>
      <c r="J292" s="24" t="s">
        <v>221</v>
      </c>
      <c r="K292" s="24" t="s">
        <v>229</v>
      </c>
      <c r="L292" s="24" t="s">
        <v>221</v>
      </c>
      <c r="M292" s="24">
        <v>1</v>
      </c>
      <c r="N292" s="24" t="s">
        <v>73</v>
      </c>
      <c r="O292" s="24" t="s">
        <v>268</v>
      </c>
      <c r="P292" s="24" t="s">
        <v>262</v>
      </c>
      <c r="Q292" s="24" t="s">
        <v>288</v>
      </c>
      <c r="R292" s="24" t="s">
        <v>476</v>
      </c>
      <c r="S292" s="24" t="s">
        <v>477</v>
      </c>
      <c r="T292" s="24" t="s">
        <v>253</v>
      </c>
      <c r="U292" s="24" t="s">
        <v>113</v>
      </c>
    </row>
    <row r="293" spans="3:21" ht="21.9" customHeight="1" x14ac:dyDescent="0.3">
      <c r="C293" s="24">
        <v>251</v>
      </c>
      <c r="D293" s="45">
        <v>43986</v>
      </c>
      <c r="E293" s="24">
        <f t="shared" si="3"/>
        <v>6</v>
      </c>
      <c r="F293" s="46">
        <v>180</v>
      </c>
      <c r="G293" s="24" t="s">
        <v>96</v>
      </c>
      <c r="H293" s="24" t="s">
        <v>190</v>
      </c>
      <c r="I293" s="24" t="s">
        <v>208</v>
      </c>
      <c r="J293" s="24" t="s">
        <v>212</v>
      </c>
      <c r="K293" s="24" t="s">
        <v>227</v>
      </c>
      <c r="L293" s="24" t="s">
        <v>223</v>
      </c>
      <c r="M293" s="24">
        <v>3</v>
      </c>
      <c r="N293" s="24" t="s">
        <v>75</v>
      </c>
      <c r="O293" s="24" t="s">
        <v>26</v>
      </c>
      <c r="P293" s="24" t="s">
        <v>249</v>
      </c>
      <c r="Q293" s="24" t="s">
        <v>289</v>
      </c>
      <c r="R293" s="24" t="s">
        <v>66</v>
      </c>
      <c r="S293" s="24" t="s">
        <v>38</v>
      </c>
      <c r="T293" s="24" t="s">
        <v>46</v>
      </c>
      <c r="U293" s="24" t="s">
        <v>115</v>
      </c>
    </row>
    <row r="294" spans="3:21" ht="21.9" customHeight="1" x14ac:dyDescent="0.3">
      <c r="C294" s="24">
        <v>250</v>
      </c>
      <c r="D294" s="45">
        <v>43985</v>
      </c>
      <c r="E294" s="24">
        <f t="shared" ref="E294:E357" si="4">MONTH(D294)</f>
        <v>6</v>
      </c>
      <c r="F294" s="46">
        <v>300</v>
      </c>
      <c r="G294" s="24" t="s">
        <v>95</v>
      </c>
      <c r="H294" s="24" t="s">
        <v>191</v>
      </c>
      <c r="I294" s="24" t="s">
        <v>207</v>
      </c>
      <c r="J294" s="24" t="s">
        <v>222</v>
      </c>
      <c r="K294" s="24" t="s">
        <v>226</v>
      </c>
      <c r="L294" s="24" t="s">
        <v>231</v>
      </c>
      <c r="M294" s="24">
        <v>3</v>
      </c>
      <c r="N294" s="24" t="s">
        <v>76</v>
      </c>
      <c r="O294" s="24" t="s">
        <v>272</v>
      </c>
      <c r="P294" s="24" t="s">
        <v>245</v>
      </c>
      <c r="Q294" s="24" t="s">
        <v>288</v>
      </c>
      <c r="R294" s="24" t="s">
        <v>50</v>
      </c>
      <c r="S294" s="24" t="s">
        <v>291</v>
      </c>
      <c r="T294" s="24" t="s">
        <v>46</v>
      </c>
      <c r="U294" s="24" t="s">
        <v>294</v>
      </c>
    </row>
    <row r="295" spans="3:21" ht="21.9" customHeight="1" x14ac:dyDescent="0.3">
      <c r="C295" s="24">
        <v>249</v>
      </c>
      <c r="D295" s="45">
        <v>43984</v>
      </c>
      <c r="E295" s="24">
        <f t="shared" si="4"/>
        <v>6</v>
      </c>
      <c r="F295" s="46">
        <v>300</v>
      </c>
      <c r="G295" s="24" t="s">
        <v>94</v>
      </c>
      <c r="H295" s="24" t="s">
        <v>192</v>
      </c>
      <c r="I295" s="24" t="s">
        <v>207</v>
      </c>
      <c r="J295" s="24" t="s">
        <v>216</v>
      </c>
      <c r="K295" s="24" t="s">
        <v>187</v>
      </c>
      <c r="L295" s="24" t="s">
        <v>232</v>
      </c>
      <c r="M295" s="24">
        <v>1</v>
      </c>
      <c r="N295" s="24" t="s">
        <v>72</v>
      </c>
      <c r="O295" s="24" t="s">
        <v>250</v>
      </c>
      <c r="P295" s="24" t="s">
        <v>253</v>
      </c>
      <c r="Q295" s="24" t="s">
        <v>384</v>
      </c>
      <c r="R295" s="24" t="s">
        <v>66</v>
      </c>
      <c r="S295" s="24" t="s">
        <v>38</v>
      </c>
      <c r="T295" s="24" t="s">
        <v>46</v>
      </c>
      <c r="U295" s="24" t="s">
        <v>115</v>
      </c>
    </row>
    <row r="296" spans="3:21" ht="21.9" customHeight="1" x14ac:dyDescent="0.3">
      <c r="C296" s="24">
        <v>248</v>
      </c>
      <c r="D296" s="45">
        <v>43983</v>
      </c>
      <c r="E296" s="24">
        <f t="shared" si="4"/>
        <v>6</v>
      </c>
      <c r="F296" s="46">
        <v>700</v>
      </c>
      <c r="G296" s="24" t="s">
        <v>93</v>
      </c>
      <c r="H296" s="24" t="s">
        <v>193</v>
      </c>
      <c r="I296" s="24" t="s">
        <v>208</v>
      </c>
      <c r="J296" s="24" t="s">
        <v>218</v>
      </c>
      <c r="K296" s="24" t="s">
        <v>187</v>
      </c>
      <c r="L296" s="24" t="s">
        <v>186</v>
      </c>
      <c r="M296" s="24">
        <v>2</v>
      </c>
      <c r="N296" s="24" t="s">
        <v>71</v>
      </c>
      <c r="O296" s="24" t="s">
        <v>271</v>
      </c>
      <c r="P296" s="24" t="s">
        <v>286</v>
      </c>
      <c r="Q296" s="24" t="s">
        <v>288</v>
      </c>
      <c r="R296" s="24" t="s">
        <v>409</v>
      </c>
      <c r="S296" s="24" t="s">
        <v>489</v>
      </c>
      <c r="T296" s="24" t="s">
        <v>245</v>
      </c>
      <c r="U296" s="24" t="s">
        <v>113</v>
      </c>
    </row>
    <row r="297" spans="3:21" ht="21.9" customHeight="1" x14ac:dyDescent="0.3">
      <c r="C297" s="24">
        <v>247</v>
      </c>
      <c r="D297" s="45">
        <v>43990</v>
      </c>
      <c r="E297" s="24">
        <f t="shared" si="4"/>
        <v>6</v>
      </c>
      <c r="F297" s="46">
        <v>540</v>
      </c>
      <c r="G297" s="24" t="s">
        <v>92</v>
      </c>
      <c r="H297" s="24" t="s">
        <v>225</v>
      </c>
      <c r="I297" s="24" t="s">
        <v>207</v>
      </c>
      <c r="J297" s="24" t="s">
        <v>219</v>
      </c>
      <c r="K297" s="24" t="s">
        <v>226</v>
      </c>
      <c r="L297" s="24" t="s">
        <v>186</v>
      </c>
      <c r="M297" s="24">
        <v>2</v>
      </c>
      <c r="N297" s="24" t="s">
        <v>76</v>
      </c>
      <c r="O297" s="24" t="s">
        <v>272</v>
      </c>
      <c r="P297" s="24" t="s">
        <v>245</v>
      </c>
      <c r="Q297" s="24" t="s">
        <v>288</v>
      </c>
      <c r="R297" s="24" t="s">
        <v>69</v>
      </c>
      <c r="S297" s="24" t="s">
        <v>41</v>
      </c>
      <c r="T297" s="24" t="s">
        <v>44</v>
      </c>
      <c r="U297" s="24" t="s">
        <v>113</v>
      </c>
    </row>
    <row r="298" spans="3:21" ht="21.9" customHeight="1" x14ac:dyDescent="0.3">
      <c r="C298" s="24">
        <v>246</v>
      </c>
      <c r="D298" s="45">
        <v>43989</v>
      </c>
      <c r="E298" s="24">
        <f t="shared" si="4"/>
        <v>6</v>
      </c>
      <c r="F298" s="46">
        <v>1500</v>
      </c>
      <c r="G298" s="24" t="s">
        <v>91</v>
      </c>
      <c r="H298" s="24" t="s">
        <v>194</v>
      </c>
      <c r="I298" s="24" t="s">
        <v>209</v>
      </c>
      <c r="J298" s="24" t="s">
        <v>219</v>
      </c>
      <c r="K298" s="24" t="s">
        <v>187</v>
      </c>
      <c r="L298" s="24" t="s">
        <v>186</v>
      </c>
      <c r="M298" s="24">
        <v>3</v>
      </c>
      <c r="N298" s="24" t="s">
        <v>51</v>
      </c>
      <c r="O298" s="24" t="s">
        <v>269</v>
      </c>
      <c r="P298" s="24" t="s">
        <v>262</v>
      </c>
      <c r="Q298" s="24" t="s">
        <v>288</v>
      </c>
      <c r="R298" s="24" t="s">
        <v>437</v>
      </c>
      <c r="S298" s="24" t="s">
        <v>494</v>
      </c>
      <c r="T298" s="24" t="s">
        <v>262</v>
      </c>
      <c r="U298" s="24" t="s">
        <v>113</v>
      </c>
    </row>
    <row r="299" spans="3:21" ht="21.9" customHeight="1" x14ac:dyDescent="0.3">
      <c r="C299" s="24">
        <v>245</v>
      </c>
      <c r="D299" s="45">
        <v>43988</v>
      </c>
      <c r="E299" s="24">
        <f t="shared" si="4"/>
        <v>6</v>
      </c>
      <c r="F299" s="46">
        <v>2700</v>
      </c>
      <c r="G299" s="24" t="s">
        <v>90</v>
      </c>
      <c r="H299" s="24" t="s">
        <v>188</v>
      </c>
      <c r="I299" s="24" t="s">
        <v>209</v>
      </c>
      <c r="J299" s="24" t="s">
        <v>220</v>
      </c>
      <c r="K299" s="24" t="s">
        <v>187</v>
      </c>
      <c r="L299" s="24" t="s">
        <v>220</v>
      </c>
      <c r="M299" s="24">
        <v>3</v>
      </c>
      <c r="N299" s="24" t="s">
        <v>76</v>
      </c>
      <c r="O299" s="24" t="s">
        <v>272</v>
      </c>
      <c r="P299" s="24" t="s">
        <v>245</v>
      </c>
      <c r="Q299" s="24" t="s">
        <v>288</v>
      </c>
      <c r="R299" s="24" t="s">
        <v>341</v>
      </c>
      <c r="S299" s="24" t="s">
        <v>320</v>
      </c>
      <c r="T299" s="24" t="s">
        <v>49</v>
      </c>
      <c r="U299" s="24" t="s">
        <v>113</v>
      </c>
    </row>
    <row r="300" spans="3:21" ht="21.9" customHeight="1" x14ac:dyDescent="0.3">
      <c r="C300" s="24">
        <v>244</v>
      </c>
      <c r="D300" s="45">
        <v>43987</v>
      </c>
      <c r="E300" s="24">
        <f t="shared" si="4"/>
        <v>6</v>
      </c>
      <c r="F300" s="46">
        <v>60</v>
      </c>
      <c r="G300" s="24" t="s">
        <v>89</v>
      </c>
      <c r="H300" s="24" t="s">
        <v>195</v>
      </c>
      <c r="I300" s="24" t="s">
        <v>207</v>
      </c>
      <c r="J300" s="24" t="s">
        <v>223</v>
      </c>
      <c r="K300" s="24" t="s">
        <v>226</v>
      </c>
      <c r="L300" s="24" t="s">
        <v>220</v>
      </c>
      <c r="M300" s="24">
        <v>1</v>
      </c>
      <c r="N300" s="24" t="s">
        <v>74</v>
      </c>
      <c r="O300" s="24" t="s">
        <v>270</v>
      </c>
      <c r="P300" s="24" t="s">
        <v>260</v>
      </c>
      <c r="Q300" s="24" t="s">
        <v>288</v>
      </c>
      <c r="R300" s="24" t="s">
        <v>65</v>
      </c>
      <c r="S300" s="24" t="s">
        <v>37</v>
      </c>
      <c r="T300" s="24" t="s">
        <v>48</v>
      </c>
      <c r="U300" s="24" t="s">
        <v>113</v>
      </c>
    </row>
    <row r="301" spans="3:21" ht="21.9" customHeight="1" x14ac:dyDescent="0.3">
      <c r="C301" s="24">
        <v>243</v>
      </c>
      <c r="D301" s="45">
        <v>43986</v>
      </c>
      <c r="E301" s="24">
        <f t="shared" si="4"/>
        <v>6</v>
      </c>
      <c r="F301" s="46">
        <v>140</v>
      </c>
      <c r="G301" s="24" t="s">
        <v>88</v>
      </c>
      <c r="H301" s="24" t="s">
        <v>196</v>
      </c>
      <c r="I301" s="24" t="s">
        <v>208</v>
      </c>
      <c r="J301" s="24" t="s">
        <v>216</v>
      </c>
      <c r="K301" s="24" t="s">
        <v>226</v>
      </c>
      <c r="L301" s="24" t="s">
        <v>230</v>
      </c>
      <c r="M301" s="24">
        <v>2</v>
      </c>
      <c r="N301" s="24" t="s">
        <v>380</v>
      </c>
      <c r="O301" s="24" t="s">
        <v>381</v>
      </c>
      <c r="P301" s="24" t="s">
        <v>46</v>
      </c>
      <c r="Q301" s="24" t="s">
        <v>384</v>
      </c>
      <c r="R301" s="24" t="s">
        <v>448</v>
      </c>
      <c r="S301" s="24" t="s">
        <v>496</v>
      </c>
      <c r="T301" s="24" t="s">
        <v>451</v>
      </c>
      <c r="U301" s="24" t="s">
        <v>113</v>
      </c>
    </row>
    <row r="302" spans="3:21" ht="21.9" customHeight="1" x14ac:dyDescent="0.3">
      <c r="C302" s="24">
        <v>242</v>
      </c>
      <c r="D302" s="45">
        <v>43985</v>
      </c>
      <c r="E302" s="24">
        <f t="shared" si="4"/>
        <v>6</v>
      </c>
      <c r="F302" s="46">
        <v>76</v>
      </c>
      <c r="G302" s="24" t="s">
        <v>87</v>
      </c>
      <c r="H302" s="24" t="s">
        <v>197</v>
      </c>
      <c r="I302" s="24" t="s">
        <v>208</v>
      </c>
      <c r="J302" s="24" t="s">
        <v>222</v>
      </c>
      <c r="K302" s="24" t="s">
        <v>226</v>
      </c>
      <c r="L302" s="24" t="s">
        <v>230</v>
      </c>
      <c r="M302" s="24">
        <v>1</v>
      </c>
      <c r="N302" s="24" t="s">
        <v>51</v>
      </c>
      <c r="O302" s="24" t="s">
        <v>269</v>
      </c>
      <c r="P302" s="24" t="s">
        <v>262</v>
      </c>
      <c r="Q302" s="24" t="s">
        <v>288</v>
      </c>
      <c r="R302" s="24" t="s">
        <v>58</v>
      </c>
      <c r="S302" s="24" t="s">
        <v>30</v>
      </c>
      <c r="T302" s="24" t="s">
        <v>46</v>
      </c>
      <c r="U302" s="24" t="s">
        <v>116</v>
      </c>
    </row>
    <row r="303" spans="3:21" ht="21.9" customHeight="1" x14ac:dyDescent="0.3">
      <c r="C303" s="24">
        <v>241</v>
      </c>
      <c r="D303" s="45">
        <v>43984</v>
      </c>
      <c r="E303" s="24">
        <f t="shared" si="4"/>
        <v>6</v>
      </c>
      <c r="F303" s="46">
        <v>1200</v>
      </c>
      <c r="G303" s="24" t="s">
        <v>86</v>
      </c>
      <c r="H303" s="24" t="s">
        <v>198</v>
      </c>
      <c r="I303" s="24" t="s">
        <v>207</v>
      </c>
      <c r="J303" s="24" t="s">
        <v>224</v>
      </c>
      <c r="K303" s="24" t="s">
        <v>228</v>
      </c>
      <c r="L303" s="24" t="s">
        <v>230</v>
      </c>
      <c r="M303" s="24">
        <v>2</v>
      </c>
      <c r="N303" s="24" t="s">
        <v>75</v>
      </c>
      <c r="O303" s="24" t="s">
        <v>26</v>
      </c>
      <c r="P303" s="24" t="s">
        <v>249</v>
      </c>
      <c r="Q303" s="24" t="s">
        <v>289</v>
      </c>
      <c r="R303" s="24" t="s">
        <v>442</v>
      </c>
      <c r="S303" s="24" t="s">
        <v>495</v>
      </c>
      <c r="T303" s="24" t="s">
        <v>445</v>
      </c>
      <c r="U303" s="24" t="s">
        <v>113</v>
      </c>
    </row>
    <row r="304" spans="3:21" ht="21.9" customHeight="1" x14ac:dyDescent="0.3">
      <c r="C304" s="24">
        <v>240</v>
      </c>
      <c r="D304" s="45">
        <v>43983</v>
      </c>
      <c r="E304" s="24">
        <f t="shared" si="4"/>
        <v>6</v>
      </c>
      <c r="F304" s="46">
        <v>340</v>
      </c>
      <c r="G304" s="24" t="s">
        <v>85</v>
      </c>
      <c r="H304" s="24" t="s">
        <v>199</v>
      </c>
      <c r="I304" s="24" t="s">
        <v>209</v>
      </c>
      <c r="J304" s="24" t="s">
        <v>216</v>
      </c>
      <c r="K304" s="24" t="s">
        <v>228</v>
      </c>
      <c r="L304" s="24" t="s">
        <v>221</v>
      </c>
      <c r="M304" s="24">
        <v>2</v>
      </c>
      <c r="N304" s="24" t="s">
        <v>74</v>
      </c>
      <c r="O304" s="24" t="s">
        <v>270</v>
      </c>
      <c r="P304" s="24" t="s">
        <v>260</v>
      </c>
      <c r="Q304" s="24" t="s">
        <v>288</v>
      </c>
      <c r="R304" s="24" t="s">
        <v>65</v>
      </c>
      <c r="S304" s="24" t="s">
        <v>37</v>
      </c>
      <c r="T304" s="24" t="s">
        <v>48</v>
      </c>
      <c r="U304" s="24" t="s">
        <v>113</v>
      </c>
    </row>
    <row r="305" spans="3:21" ht="21.9" customHeight="1" x14ac:dyDescent="0.3">
      <c r="C305" s="24">
        <v>239</v>
      </c>
      <c r="D305" s="45">
        <v>44011</v>
      </c>
      <c r="E305" s="24">
        <f t="shared" si="4"/>
        <v>6</v>
      </c>
      <c r="F305" s="46">
        <v>400</v>
      </c>
      <c r="G305" s="24" t="s">
        <v>84</v>
      </c>
      <c r="H305" s="24" t="s">
        <v>200</v>
      </c>
      <c r="I305" s="24" t="s">
        <v>208</v>
      </c>
      <c r="J305" s="24" t="s">
        <v>222</v>
      </c>
      <c r="K305" s="24" t="s">
        <v>228</v>
      </c>
      <c r="L305" s="24" t="s">
        <v>220</v>
      </c>
      <c r="M305" s="24">
        <v>1</v>
      </c>
      <c r="N305" s="24" t="s">
        <v>71</v>
      </c>
      <c r="O305" s="24" t="s">
        <v>271</v>
      </c>
      <c r="P305" s="24" t="s">
        <v>286</v>
      </c>
      <c r="Q305" s="24" t="s">
        <v>288</v>
      </c>
      <c r="R305" s="24" t="s">
        <v>65</v>
      </c>
      <c r="S305" s="24" t="s">
        <v>37</v>
      </c>
      <c r="T305" s="24" t="s">
        <v>48</v>
      </c>
      <c r="U305" s="24" t="s">
        <v>113</v>
      </c>
    </row>
    <row r="306" spans="3:21" ht="21.9" customHeight="1" x14ac:dyDescent="0.3">
      <c r="C306" s="24">
        <v>238</v>
      </c>
      <c r="D306" s="45">
        <v>44010</v>
      </c>
      <c r="E306" s="24">
        <f t="shared" si="4"/>
        <v>6</v>
      </c>
      <c r="F306" s="46">
        <v>1600</v>
      </c>
      <c r="G306" s="24" t="s">
        <v>83</v>
      </c>
      <c r="H306" s="24" t="s">
        <v>201</v>
      </c>
      <c r="I306" s="24" t="s">
        <v>208</v>
      </c>
      <c r="J306" s="24" t="s">
        <v>222</v>
      </c>
      <c r="K306" s="24" t="s">
        <v>226</v>
      </c>
      <c r="L306" s="24" t="s">
        <v>230</v>
      </c>
      <c r="M306" s="24">
        <v>2</v>
      </c>
      <c r="N306" s="24" t="s">
        <v>74</v>
      </c>
      <c r="O306" s="24" t="s">
        <v>270</v>
      </c>
      <c r="P306" s="24" t="s">
        <v>260</v>
      </c>
      <c r="Q306" s="24" t="s">
        <v>288</v>
      </c>
      <c r="R306" s="24" t="s">
        <v>341</v>
      </c>
      <c r="S306" s="24" t="s">
        <v>320</v>
      </c>
      <c r="T306" s="24" t="s">
        <v>49</v>
      </c>
      <c r="U306" s="24" t="s">
        <v>113</v>
      </c>
    </row>
    <row r="307" spans="3:21" ht="21.9" customHeight="1" x14ac:dyDescent="0.3">
      <c r="C307" s="24">
        <v>237</v>
      </c>
      <c r="D307" s="45">
        <v>44009</v>
      </c>
      <c r="E307" s="24">
        <f t="shared" si="4"/>
        <v>6</v>
      </c>
      <c r="F307" s="46">
        <v>800</v>
      </c>
      <c r="G307" s="24" t="s">
        <v>82</v>
      </c>
      <c r="H307" s="24" t="s">
        <v>202</v>
      </c>
      <c r="I307" s="24" t="s">
        <v>207</v>
      </c>
      <c r="J307" s="24" t="s">
        <v>222</v>
      </c>
      <c r="K307" s="24" t="s">
        <v>226</v>
      </c>
      <c r="L307" s="24" t="s">
        <v>230</v>
      </c>
      <c r="M307" s="24">
        <v>2</v>
      </c>
      <c r="N307" s="24" t="s">
        <v>380</v>
      </c>
      <c r="O307" s="24" t="s">
        <v>381</v>
      </c>
      <c r="P307" s="24" t="s">
        <v>46</v>
      </c>
      <c r="Q307" s="24" t="s">
        <v>384</v>
      </c>
      <c r="R307" s="24" t="s">
        <v>59</v>
      </c>
      <c r="S307" s="24" t="s">
        <v>31</v>
      </c>
      <c r="T307" s="24" t="s">
        <v>327</v>
      </c>
      <c r="U307" s="24" t="s">
        <v>114</v>
      </c>
    </row>
    <row r="308" spans="3:21" ht="21.9" customHeight="1" x14ac:dyDescent="0.3">
      <c r="C308" s="24">
        <v>236</v>
      </c>
      <c r="D308" s="45">
        <v>44008</v>
      </c>
      <c r="E308" s="24">
        <f t="shared" si="4"/>
        <v>6</v>
      </c>
      <c r="F308" s="46">
        <v>750</v>
      </c>
      <c r="G308" s="24" t="s">
        <v>81</v>
      </c>
      <c r="H308" s="24" t="s">
        <v>203</v>
      </c>
      <c r="I308" s="24" t="s">
        <v>207</v>
      </c>
      <c r="J308" s="24" t="s">
        <v>223</v>
      </c>
      <c r="K308" s="24" t="s">
        <v>226</v>
      </c>
      <c r="L308" s="24" t="s">
        <v>230</v>
      </c>
      <c r="M308" s="24">
        <v>3</v>
      </c>
      <c r="N308" s="24" t="s">
        <v>51</v>
      </c>
      <c r="O308" s="24" t="s">
        <v>269</v>
      </c>
      <c r="P308" s="24" t="s">
        <v>262</v>
      </c>
      <c r="Q308" s="24" t="s">
        <v>288</v>
      </c>
      <c r="R308" s="24" t="s">
        <v>59</v>
      </c>
      <c r="S308" s="24" t="s">
        <v>31</v>
      </c>
      <c r="T308" s="24" t="s">
        <v>327</v>
      </c>
      <c r="U308" s="24" t="s">
        <v>114</v>
      </c>
    </row>
    <row r="309" spans="3:21" ht="21.9" customHeight="1" x14ac:dyDescent="0.3">
      <c r="C309" s="24">
        <v>235</v>
      </c>
      <c r="D309" s="45">
        <v>44007</v>
      </c>
      <c r="E309" s="24">
        <f t="shared" si="4"/>
        <v>6</v>
      </c>
      <c r="F309" s="46">
        <v>80</v>
      </c>
      <c r="G309" s="24" t="s">
        <v>80</v>
      </c>
      <c r="H309" s="24" t="s">
        <v>204</v>
      </c>
      <c r="I309" s="24" t="s">
        <v>207</v>
      </c>
      <c r="J309" s="24" t="s">
        <v>221</v>
      </c>
      <c r="K309" s="24" t="s">
        <v>229</v>
      </c>
      <c r="L309" s="24" t="s">
        <v>221</v>
      </c>
      <c r="M309" s="24">
        <v>2</v>
      </c>
      <c r="N309" s="24" t="s">
        <v>71</v>
      </c>
      <c r="O309" s="24" t="s">
        <v>271</v>
      </c>
      <c r="P309" s="24" t="s">
        <v>286</v>
      </c>
      <c r="Q309" s="24" t="s">
        <v>288</v>
      </c>
      <c r="R309" s="24" t="s">
        <v>50</v>
      </c>
      <c r="S309" s="24" t="s">
        <v>291</v>
      </c>
      <c r="T309" s="24" t="s">
        <v>46</v>
      </c>
      <c r="U309" s="24" t="s">
        <v>294</v>
      </c>
    </row>
    <row r="310" spans="3:21" ht="21.9" customHeight="1" x14ac:dyDescent="0.3">
      <c r="C310" s="24">
        <v>234</v>
      </c>
      <c r="D310" s="45">
        <v>44006</v>
      </c>
      <c r="E310" s="24">
        <f t="shared" si="4"/>
        <v>6</v>
      </c>
      <c r="F310" s="46">
        <v>35</v>
      </c>
      <c r="G310" s="24" t="s">
        <v>79</v>
      </c>
      <c r="H310" s="24" t="s">
        <v>205</v>
      </c>
      <c r="I310" s="24" t="s">
        <v>207</v>
      </c>
      <c r="J310" s="24" t="s">
        <v>221</v>
      </c>
      <c r="K310" s="24" t="s">
        <v>229</v>
      </c>
      <c r="L310" s="24" t="s">
        <v>221</v>
      </c>
      <c r="M310" s="24">
        <v>1</v>
      </c>
      <c r="N310" s="24" t="s">
        <v>72</v>
      </c>
      <c r="O310" s="24" t="s">
        <v>250</v>
      </c>
      <c r="P310" s="24" t="s">
        <v>253</v>
      </c>
      <c r="Q310" s="24" t="s">
        <v>384</v>
      </c>
      <c r="R310" s="24" t="s">
        <v>476</v>
      </c>
      <c r="S310" s="24" t="s">
        <v>477</v>
      </c>
      <c r="T310" s="24" t="s">
        <v>253</v>
      </c>
      <c r="U310" s="24" t="s">
        <v>113</v>
      </c>
    </row>
    <row r="311" spans="3:21" ht="21.9" customHeight="1" x14ac:dyDescent="0.3">
      <c r="C311" s="24">
        <v>233</v>
      </c>
      <c r="D311" s="45">
        <v>44005</v>
      </c>
      <c r="E311" s="24">
        <f t="shared" si="4"/>
        <v>6</v>
      </c>
      <c r="F311" s="46">
        <v>90</v>
      </c>
      <c r="G311" s="24" t="s">
        <v>78</v>
      </c>
      <c r="H311" s="24" t="s">
        <v>206</v>
      </c>
      <c r="I311" s="24" t="s">
        <v>207</v>
      </c>
      <c r="J311" s="24" t="s">
        <v>221</v>
      </c>
      <c r="K311" s="24" t="s">
        <v>229</v>
      </c>
      <c r="L311" s="24" t="s">
        <v>221</v>
      </c>
      <c r="M311" s="24">
        <v>3</v>
      </c>
      <c r="N311" s="24" t="s">
        <v>72</v>
      </c>
      <c r="O311" s="24" t="s">
        <v>250</v>
      </c>
      <c r="P311" s="24" t="s">
        <v>253</v>
      </c>
      <c r="Q311" s="24" t="s">
        <v>384</v>
      </c>
      <c r="R311" s="24" t="s">
        <v>53</v>
      </c>
      <c r="S311" s="24" t="s">
        <v>25</v>
      </c>
      <c r="T311" s="24" t="s">
        <v>45</v>
      </c>
      <c r="U311" s="24" t="s">
        <v>113</v>
      </c>
    </row>
    <row r="312" spans="3:21" ht="21.9" customHeight="1" x14ac:dyDescent="0.3">
      <c r="C312" s="24">
        <v>232</v>
      </c>
      <c r="D312" s="45">
        <v>44004</v>
      </c>
      <c r="E312" s="24">
        <f t="shared" si="4"/>
        <v>6</v>
      </c>
      <c r="F312" s="46">
        <v>1600</v>
      </c>
      <c r="G312" s="24" t="s">
        <v>121</v>
      </c>
      <c r="H312" s="24" t="s">
        <v>183</v>
      </c>
      <c r="I312" s="24" t="s">
        <v>207</v>
      </c>
      <c r="J312" s="24" t="s">
        <v>210</v>
      </c>
      <c r="K312" s="24" t="s">
        <v>184</v>
      </c>
      <c r="L312" s="24" t="s">
        <v>230</v>
      </c>
      <c r="M312" s="24">
        <v>1</v>
      </c>
      <c r="N312" s="24" t="s">
        <v>380</v>
      </c>
      <c r="O312" s="24" t="s">
        <v>381</v>
      </c>
      <c r="P312" s="24" t="s">
        <v>46</v>
      </c>
      <c r="Q312" s="24" t="s">
        <v>384</v>
      </c>
      <c r="R312" s="24" t="s">
        <v>465</v>
      </c>
      <c r="S312" s="24" t="s">
        <v>499</v>
      </c>
      <c r="T312" s="24" t="s">
        <v>249</v>
      </c>
      <c r="U312" s="24" t="s">
        <v>113</v>
      </c>
    </row>
    <row r="313" spans="3:21" ht="21.9" customHeight="1" x14ac:dyDescent="0.3">
      <c r="C313" s="24">
        <v>231</v>
      </c>
      <c r="D313" s="45">
        <v>44003</v>
      </c>
      <c r="E313" s="24">
        <f t="shared" si="4"/>
        <v>6</v>
      </c>
      <c r="F313" s="46">
        <v>5600</v>
      </c>
      <c r="G313" s="24" t="s">
        <v>120</v>
      </c>
      <c r="H313" s="24" t="s">
        <v>185</v>
      </c>
      <c r="I313" s="24" t="s">
        <v>207</v>
      </c>
      <c r="J313" s="24" t="s">
        <v>210</v>
      </c>
      <c r="K313" s="24" t="s">
        <v>184</v>
      </c>
      <c r="L313" s="24" t="s">
        <v>230</v>
      </c>
      <c r="M313" s="24">
        <v>2</v>
      </c>
      <c r="N313" s="24" t="s">
        <v>75</v>
      </c>
      <c r="O313" s="24" t="s">
        <v>26</v>
      </c>
      <c r="P313" s="24" t="s">
        <v>249</v>
      </c>
      <c r="Q313" s="24" t="s">
        <v>289</v>
      </c>
      <c r="R313" s="24" t="s">
        <v>459</v>
      </c>
      <c r="S313" s="24" t="s">
        <v>498</v>
      </c>
      <c r="T313" s="24" t="s">
        <v>462</v>
      </c>
      <c r="U313" s="24" t="s">
        <v>113</v>
      </c>
    </row>
    <row r="314" spans="3:21" ht="21.9" customHeight="1" x14ac:dyDescent="0.3">
      <c r="C314" s="24">
        <v>230</v>
      </c>
      <c r="D314" s="45">
        <v>44002</v>
      </c>
      <c r="E314" s="24">
        <f t="shared" si="4"/>
        <v>6</v>
      </c>
      <c r="F314" s="46">
        <v>80</v>
      </c>
      <c r="G314" s="24" t="s">
        <v>97</v>
      </c>
      <c r="H314" s="24" t="s">
        <v>189</v>
      </c>
      <c r="I314" s="24" t="s">
        <v>207</v>
      </c>
      <c r="J314" s="24" t="s">
        <v>211</v>
      </c>
      <c r="K314" s="24" t="s">
        <v>227</v>
      </c>
      <c r="L314" s="24" t="s">
        <v>186</v>
      </c>
      <c r="M314" s="24">
        <v>1</v>
      </c>
      <c r="N314" s="24" t="s">
        <v>77</v>
      </c>
      <c r="O314" s="24" t="s">
        <v>273</v>
      </c>
      <c r="P314" s="24" t="s">
        <v>241</v>
      </c>
      <c r="Q314" s="24" t="s">
        <v>287</v>
      </c>
      <c r="R314" s="24" t="s">
        <v>54</v>
      </c>
      <c r="S314" s="24" t="s">
        <v>26</v>
      </c>
      <c r="T314" s="24" t="s">
        <v>46</v>
      </c>
      <c r="U314" s="24" t="s">
        <v>114</v>
      </c>
    </row>
    <row r="315" spans="3:21" ht="21.9" customHeight="1" x14ac:dyDescent="0.3">
      <c r="C315" s="24">
        <v>229</v>
      </c>
      <c r="D315" s="45">
        <v>44001</v>
      </c>
      <c r="E315" s="24">
        <f t="shared" si="4"/>
        <v>6</v>
      </c>
      <c r="F315" s="46">
        <v>120</v>
      </c>
      <c r="G315" s="24" t="s">
        <v>96</v>
      </c>
      <c r="H315" s="24" t="s">
        <v>190</v>
      </c>
      <c r="I315" s="24" t="s">
        <v>208</v>
      </c>
      <c r="J315" s="24" t="s">
        <v>212</v>
      </c>
      <c r="K315" s="24" t="s">
        <v>227</v>
      </c>
      <c r="L315" s="24" t="s">
        <v>223</v>
      </c>
      <c r="M315" s="24">
        <v>2</v>
      </c>
      <c r="N315" s="24" t="s">
        <v>71</v>
      </c>
      <c r="O315" s="24" t="s">
        <v>271</v>
      </c>
      <c r="P315" s="24" t="s">
        <v>286</v>
      </c>
      <c r="Q315" s="24" t="s">
        <v>288</v>
      </c>
      <c r="R315" s="24" t="s">
        <v>65</v>
      </c>
      <c r="S315" s="24" t="s">
        <v>37</v>
      </c>
      <c r="T315" s="24" t="s">
        <v>48</v>
      </c>
      <c r="U315" s="24" t="s">
        <v>113</v>
      </c>
    </row>
    <row r="316" spans="3:21" ht="21.9" customHeight="1" x14ac:dyDescent="0.3">
      <c r="C316" s="24">
        <v>228</v>
      </c>
      <c r="D316" s="45">
        <v>44000</v>
      </c>
      <c r="E316" s="24">
        <f t="shared" si="4"/>
        <v>6</v>
      </c>
      <c r="F316" s="46">
        <v>100</v>
      </c>
      <c r="G316" s="24" t="s">
        <v>95</v>
      </c>
      <c r="H316" s="24" t="s">
        <v>191</v>
      </c>
      <c r="I316" s="24" t="s">
        <v>207</v>
      </c>
      <c r="J316" s="24" t="s">
        <v>222</v>
      </c>
      <c r="K316" s="24" t="s">
        <v>226</v>
      </c>
      <c r="L316" s="24" t="s">
        <v>231</v>
      </c>
      <c r="M316" s="24">
        <v>1</v>
      </c>
      <c r="N316" s="24" t="s">
        <v>75</v>
      </c>
      <c r="O316" s="24" t="s">
        <v>26</v>
      </c>
      <c r="P316" s="24" t="s">
        <v>249</v>
      </c>
      <c r="Q316" s="24" t="s">
        <v>289</v>
      </c>
      <c r="R316" s="24" t="s">
        <v>62</v>
      </c>
      <c r="S316" s="24" t="s">
        <v>34</v>
      </c>
      <c r="T316" s="24" t="s">
        <v>47</v>
      </c>
      <c r="U316" s="24" t="s">
        <v>115</v>
      </c>
    </row>
    <row r="317" spans="3:21" ht="21.9" customHeight="1" x14ac:dyDescent="0.3">
      <c r="C317" s="24">
        <v>227</v>
      </c>
      <c r="D317" s="45">
        <v>43999</v>
      </c>
      <c r="E317" s="24">
        <f t="shared" si="4"/>
        <v>6</v>
      </c>
      <c r="F317" s="46">
        <v>900</v>
      </c>
      <c r="G317" s="24" t="s">
        <v>94</v>
      </c>
      <c r="H317" s="24" t="s">
        <v>192</v>
      </c>
      <c r="I317" s="24" t="s">
        <v>207</v>
      </c>
      <c r="J317" s="24" t="s">
        <v>216</v>
      </c>
      <c r="K317" s="24" t="s">
        <v>187</v>
      </c>
      <c r="L317" s="24" t="s">
        <v>232</v>
      </c>
      <c r="M317" s="24">
        <v>3</v>
      </c>
      <c r="N317" s="24" t="s">
        <v>380</v>
      </c>
      <c r="O317" s="24" t="s">
        <v>381</v>
      </c>
      <c r="P317" s="24" t="s">
        <v>46</v>
      </c>
      <c r="Q317" s="24" t="s">
        <v>384</v>
      </c>
      <c r="R317" s="24" t="s">
        <v>448</v>
      </c>
      <c r="S317" s="24" t="s">
        <v>496</v>
      </c>
      <c r="T317" s="24" t="s">
        <v>451</v>
      </c>
      <c r="U317" s="24" t="s">
        <v>113</v>
      </c>
    </row>
    <row r="318" spans="3:21" ht="21.9" customHeight="1" x14ac:dyDescent="0.3">
      <c r="C318" s="24">
        <v>226</v>
      </c>
      <c r="D318" s="45">
        <v>43998</v>
      </c>
      <c r="E318" s="24">
        <f t="shared" si="4"/>
        <v>6</v>
      </c>
      <c r="F318" s="46">
        <v>700</v>
      </c>
      <c r="G318" s="24" t="s">
        <v>93</v>
      </c>
      <c r="H318" s="24" t="s">
        <v>193</v>
      </c>
      <c r="I318" s="24" t="s">
        <v>208</v>
      </c>
      <c r="J318" s="24" t="s">
        <v>218</v>
      </c>
      <c r="K318" s="24" t="s">
        <v>187</v>
      </c>
      <c r="L318" s="24" t="s">
        <v>186</v>
      </c>
      <c r="M318" s="24">
        <v>2</v>
      </c>
      <c r="N318" s="24" t="s">
        <v>77</v>
      </c>
      <c r="O318" s="24" t="s">
        <v>273</v>
      </c>
      <c r="P318" s="24" t="s">
        <v>241</v>
      </c>
      <c r="Q318" s="24" t="s">
        <v>287</v>
      </c>
      <c r="R318" s="24" t="s">
        <v>346</v>
      </c>
      <c r="S318" s="24" t="s">
        <v>333</v>
      </c>
      <c r="T318" s="24" t="s">
        <v>47</v>
      </c>
      <c r="U318" s="24" t="s">
        <v>114</v>
      </c>
    </row>
    <row r="319" spans="3:21" ht="21.9" customHeight="1" x14ac:dyDescent="0.3">
      <c r="C319" s="24">
        <v>225</v>
      </c>
      <c r="D319" s="45">
        <v>43997</v>
      </c>
      <c r="E319" s="24">
        <f t="shared" si="4"/>
        <v>6</v>
      </c>
      <c r="F319" s="46">
        <v>540</v>
      </c>
      <c r="G319" s="24" t="s">
        <v>92</v>
      </c>
      <c r="H319" s="24" t="s">
        <v>225</v>
      </c>
      <c r="I319" s="24" t="s">
        <v>207</v>
      </c>
      <c r="J319" s="24" t="s">
        <v>219</v>
      </c>
      <c r="K319" s="24" t="s">
        <v>226</v>
      </c>
      <c r="L319" s="24" t="s">
        <v>186</v>
      </c>
      <c r="M319" s="24">
        <v>2</v>
      </c>
      <c r="N319" s="24" t="s">
        <v>73</v>
      </c>
      <c r="O319" s="24" t="s">
        <v>268</v>
      </c>
      <c r="P319" s="24" t="s">
        <v>262</v>
      </c>
      <c r="Q319" s="24" t="s">
        <v>288</v>
      </c>
      <c r="R319" s="24" t="s">
        <v>60</v>
      </c>
      <c r="S319" s="24" t="s">
        <v>32</v>
      </c>
      <c r="T319" s="24" t="s">
        <v>48</v>
      </c>
      <c r="U319" s="24" t="s">
        <v>113</v>
      </c>
    </row>
    <row r="320" spans="3:21" ht="21.9" customHeight="1" x14ac:dyDescent="0.3">
      <c r="C320" s="24">
        <v>224</v>
      </c>
      <c r="D320" s="45">
        <v>43996</v>
      </c>
      <c r="E320" s="24">
        <f t="shared" si="4"/>
        <v>6</v>
      </c>
      <c r="F320" s="46">
        <v>500</v>
      </c>
      <c r="G320" s="24" t="s">
        <v>91</v>
      </c>
      <c r="H320" s="24" t="s">
        <v>194</v>
      </c>
      <c r="I320" s="24" t="s">
        <v>209</v>
      </c>
      <c r="J320" s="24" t="s">
        <v>219</v>
      </c>
      <c r="K320" s="24" t="s">
        <v>187</v>
      </c>
      <c r="L320" s="24" t="s">
        <v>186</v>
      </c>
      <c r="M320" s="24">
        <v>1</v>
      </c>
      <c r="N320" s="24" t="s">
        <v>74</v>
      </c>
      <c r="O320" s="24" t="s">
        <v>270</v>
      </c>
      <c r="P320" s="24" t="s">
        <v>260</v>
      </c>
      <c r="Q320" s="24" t="s">
        <v>288</v>
      </c>
      <c r="R320" s="24" t="s">
        <v>388</v>
      </c>
      <c r="S320" s="24" t="s">
        <v>485</v>
      </c>
      <c r="T320" s="24" t="s">
        <v>390</v>
      </c>
      <c r="U320" s="24" t="s">
        <v>113</v>
      </c>
    </row>
    <row r="321" spans="3:21" ht="21.9" customHeight="1" x14ac:dyDescent="0.3">
      <c r="C321" s="24">
        <v>223</v>
      </c>
      <c r="D321" s="45">
        <v>43995</v>
      </c>
      <c r="E321" s="24">
        <f t="shared" si="4"/>
        <v>6</v>
      </c>
      <c r="F321" s="46">
        <v>900</v>
      </c>
      <c r="G321" s="24" t="s">
        <v>90</v>
      </c>
      <c r="H321" s="24" t="s">
        <v>188</v>
      </c>
      <c r="I321" s="24" t="s">
        <v>209</v>
      </c>
      <c r="J321" s="24" t="s">
        <v>220</v>
      </c>
      <c r="K321" s="24" t="s">
        <v>187</v>
      </c>
      <c r="L321" s="24" t="s">
        <v>220</v>
      </c>
      <c r="M321" s="24">
        <v>1</v>
      </c>
      <c r="N321" s="24" t="s">
        <v>71</v>
      </c>
      <c r="O321" s="24" t="s">
        <v>271</v>
      </c>
      <c r="P321" s="24" t="s">
        <v>286</v>
      </c>
      <c r="Q321" s="24" t="s">
        <v>288</v>
      </c>
      <c r="R321" s="24" t="s">
        <v>58</v>
      </c>
      <c r="S321" s="24" t="s">
        <v>30</v>
      </c>
      <c r="T321" s="24" t="s">
        <v>46</v>
      </c>
      <c r="U321" s="24" t="s">
        <v>116</v>
      </c>
    </row>
    <row r="322" spans="3:21" ht="21.9" customHeight="1" x14ac:dyDescent="0.3">
      <c r="C322" s="24">
        <v>222</v>
      </c>
      <c r="D322" s="45">
        <v>43994</v>
      </c>
      <c r="E322" s="24">
        <f t="shared" si="4"/>
        <v>6</v>
      </c>
      <c r="F322" s="46">
        <v>60</v>
      </c>
      <c r="G322" s="24" t="s">
        <v>89</v>
      </c>
      <c r="H322" s="24" t="s">
        <v>195</v>
      </c>
      <c r="I322" s="24" t="s">
        <v>207</v>
      </c>
      <c r="J322" s="24" t="s">
        <v>223</v>
      </c>
      <c r="K322" s="24" t="s">
        <v>226</v>
      </c>
      <c r="L322" s="24" t="s">
        <v>220</v>
      </c>
      <c r="M322" s="24">
        <v>1</v>
      </c>
      <c r="N322" s="24" t="s">
        <v>51</v>
      </c>
      <c r="O322" s="24" t="s">
        <v>269</v>
      </c>
      <c r="P322" s="24" t="s">
        <v>262</v>
      </c>
      <c r="Q322" s="24" t="s">
        <v>288</v>
      </c>
      <c r="R322" s="24" t="s">
        <v>442</v>
      </c>
      <c r="S322" s="24" t="s">
        <v>495</v>
      </c>
      <c r="T322" s="24" t="s">
        <v>445</v>
      </c>
      <c r="U322" s="24" t="s">
        <v>113</v>
      </c>
    </row>
    <row r="323" spans="3:21" ht="21.9" customHeight="1" x14ac:dyDescent="0.3">
      <c r="C323" s="24">
        <v>221</v>
      </c>
      <c r="D323" s="45">
        <v>43993</v>
      </c>
      <c r="E323" s="24">
        <f t="shared" si="4"/>
        <v>6</v>
      </c>
      <c r="F323" s="46">
        <v>210</v>
      </c>
      <c r="G323" s="24" t="s">
        <v>88</v>
      </c>
      <c r="H323" s="24" t="s">
        <v>196</v>
      </c>
      <c r="I323" s="24" t="s">
        <v>208</v>
      </c>
      <c r="J323" s="24" t="s">
        <v>216</v>
      </c>
      <c r="K323" s="24" t="s">
        <v>226</v>
      </c>
      <c r="L323" s="24" t="s">
        <v>230</v>
      </c>
      <c r="M323" s="24">
        <v>3</v>
      </c>
      <c r="N323" s="24" t="s">
        <v>74</v>
      </c>
      <c r="O323" s="24" t="s">
        <v>270</v>
      </c>
      <c r="P323" s="24" t="s">
        <v>260</v>
      </c>
      <c r="Q323" s="24" t="s">
        <v>288</v>
      </c>
      <c r="R323" s="24" t="s">
        <v>53</v>
      </c>
      <c r="S323" s="24" t="s">
        <v>25</v>
      </c>
      <c r="T323" s="24" t="s">
        <v>45</v>
      </c>
      <c r="U323" s="24" t="s">
        <v>113</v>
      </c>
    </row>
    <row r="324" spans="3:21" ht="21.9" customHeight="1" x14ac:dyDescent="0.3">
      <c r="C324" s="24">
        <v>220</v>
      </c>
      <c r="D324" s="45">
        <v>43992</v>
      </c>
      <c r="E324" s="24">
        <f t="shared" si="4"/>
        <v>6</v>
      </c>
      <c r="F324" s="46">
        <v>152</v>
      </c>
      <c r="G324" s="24" t="s">
        <v>87</v>
      </c>
      <c r="H324" s="24" t="s">
        <v>197</v>
      </c>
      <c r="I324" s="24" t="s">
        <v>208</v>
      </c>
      <c r="J324" s="24" t="s">
        <v>222</v>
      </c>
      <c r="K324" s="24" t="s">
        <v>226</v>
      </c>
      <c r="L324" s="24" t="s">
        <v>230</v>
      </c>
      <c r="M324" s="24">
        <v>2</v>
      </c>
      <c r="N324" s="24" t="s">
        <v>71</v>
      </c>
      <c r="O324" s="24" t="s">
        <v>271</v>
      </c>
      <c r="P324" s="24" t="s">
        <v>286</v>
      </c>
      <c r="Q324" s="24" t="s">
        <v>288</v>
      </c>
      <c r="R324" s="24" t="s">
        <v>398</v>
      </c>
      <c r="S324" s="24" t="s">
        <v>487</v>
      </c>
      <c r="T324" s="24" t="s">
        <v>401</v>
      </c>
      <c r="U324" s="24" t="s">
        <v>113</v>
      </c>
    </row>
    <row r="325" spans="3:21" ht="21.9" customHeight="1" x14ac:dyDescent="0.3">
      <c r="C325" s="24">
        <v>219</v>
      </c>
      <c r="D325" s="45">
        <v>43991</v>
      </c>
      <c r="E325" s="24">
        <f t="shared" si="4"/>
        <v>6</v>
      </c>
      <c r="F325" s="46">
        <v>600</v>
      </c>
      <c r="G325" s="24" t="s">
        <v>86</v>
      </c>
      <c r="H325" s="24" t="s">
        <v>198</v>
      </c>
      <c r="I325" s="24" t="s">
        <v>207</v>
      </c>
      <c r="J325" s="24" t="s">
        <v>224</v>
      </c>
      <c r="K325" s="24" t="s">
        <v>228</v>
      </c>
      <c r="L325" s="24" t="s">
        <v>230</v>
      </c>
      <c r="M325" s="24">
        <v>1</v>
      </c>
      <c r="N325" s="24" t="s">
        <v>74</v>
      </c>
      <c r="O325" s="24" t="s">
        <v>270</v>
      </c>
      <c r="P325" s="24" t="s">
        <v>260</v>
      </c>
      <c r="Q325" s="24" t="s">
        <v>288</v>
      </c>
      <c r="R325" s="24" t="s">
        <v>465</v>
      </c>
      <c r="S325" s="24" t="s">
        <v>499</v>
      </c>
      <c r="T325" s="24" t="s">
        <v>249</v>
      </c>
      <c r="U325" s="24" t="s">
        <v>113</v>
      </c>
    </row>
    <row r="326" spans="3:21" ht="21.9" customHeight="1" x14ac:dyDescent="0.3">
      <c r="C326" s="24">
        <v>218</v>
      </c>
      <c r="D326" s="45">
        <v>43990</v>
      </c>
      <c r="E326" s="24">
        <f t="shared" si="4"/>
        <v>6</v>
      </c>
      <c r="F326" s="46">
        <v>340</v>
      </c>
      <c r="G326" s="24" t="s">
        <v>85</v>
      </c>
      <c r="H326" s="24" t="s">
        <v>199</v>
      </c>
      <c r="I326" s="24" t="s">
        <v>209</v>
      </c>
      <c r="J326" s="24" t="s">
        <v>216</v>
      </c>
      <c r="K326" s="24" t="s">
        <v>228</v>
      </c>
      <c r="L326" s="24" t="s">
        <v>221</v>
      </c>
      <c r="M326" s="24">
        <v>2</v>
      </c>
      <c r="N326" s="24" t="s">
        <v>75</v>
      </c>
      <c r="O326" s="24" t="s">
        <v>26</v>
      </c>
      <c r="P326" s="24" t="s">
        <v>249</v>
      </c>
      <c r="Q326" s="24" t="s">
        <v>289</v>
      </c>
      <c r="R326" s="24" t="s">
        <v>339</v>
      </c>
      <c r="S326" s="24" t="s">
        <v>314</v>
      </c>
      <c r="T326" s="24" t="s">
        <v>44</v>
      </c>
      <c r="U326" s="24" t="s">
        <v>113</v>
      </c>
    </row>
    <row r="327" spans="3:21" ht="21.9" customHeight="1" x14ac:dyDescent="0.3">
      <c r="C327" s="24">
        <v>217</v>
      </c>
      <c r="D327" s="45">
        <v>43989</v>
      </c>
      <c r="E327" s="24">
        <f t="shared" si="4"/>
        <v>6</v>
      </c>
      <c r="F327" s="46">
        <v>1200</v>
      </c>
      <c r="G327" s="24" t="s">
        <v>84</v>
      </c>
      <c r="H327" s="24" t="s">
        <v>200</v>
      </c>
      <c r="I327" s="24" t="s">
        <v>208</v>
      </c>
      <c r="J327" s="24" t="s">
        <v>222</v>
      </c>
      <c r="K327" s="24" t="s">
        <v>228</v>
      </c>
      <c r="L327" s="24" t="s">
        <v>220</v>
      </c>
      <c r="M327" s="24">
        <v>3</v>
      </c>
      <c r="N327" s="24" t="s">
        <v>72</v>
      </c>
      <c r="O327" s="24" t="s">
        <v>250</v>
      </c>
      <c r="P327" s="24" t="s">
        <v>253</v>
      </c>
      <c r="Q327" s="24" t="s">
        <v>384</v>
      </c>
      <c r="R327" s="24" t="s">
        <v>67</v>
      </c>
      <c r="S327" s="24" t="s">
        <v>39</v>
      </c>
      <c r="T327" s="24" t="s">
        <v>45</v>
      </c>
      <c r="U327" s="24" t="s">
        <v>116</v>
      </c>
    </row>
    <row r="328" spans="3:21" ht="21.9" customHeight="1" x14ac:dyDescent="0.3">
      <c r="C328" s="24">
        <v>216</v>
      </c>
      <c r="D328" s="45">
        <v>43988</v>
      </c>
      <c r="E328" s="24">
        <f t="shared" si="4"/>
        <v>6</v>
      </c>
      <c r="F328" s="46">
        <v>2400</v>
      </c>
      <c r="G328" s="24" t="s">
        <v>83</v>
      </c>
      <c r="H328" s="24" t="s">
        <v>201</v>
      </c>
      <c r="I328" s="24" t="s">
        <v>208</v>
      </c>
      <c r="J328" s="24" t="s">
        <v>222</v>
      </c>
      <c r="K328" s="24" t="s">
        <v>226</v>
      </c>
      <c r="L328" s="24" t="s">
        <v>230</v>
      </c>
      <c r="M328" s="24">
        <v>3</v>
      </c>
      <c r="N328" s="24" t="s">
        <v>71</v>
      </c>
      <c r="O328" s="24" t="s">
        <v>271</v>
      </c>
      <c r="P328" s="24" t="s">
        <v>286</v>
      </c>
      <c r="Q328" s="24" t="s">
        <v>288</v>
      </c>
      <c r="R328" s="24" t="s">
        <v>347</v>
      </c>
      <c r="S328" s="24" t="s">
        <v>335</v>
      </c>
      <c r="T328" s="24" t="s">
        <v>49</v>
      </c>
      <c r="U328" s="24" t="s">
        <v>113</v>
      </c>
    </row>
    <row r="329" spans="3:21" ht="21.9" customHeight="1" x14ac:dyDescent="0.3">
      <c r="C329" s="24">
        <v>215</v>
      </c>
      <c r="D329" s="45">
        <v>43987</v>
      </c>
      <c r="E329" s="24">
        <f t="shared" si="4"/>
        <v>6</v>
      </c>
      <c r="F329" s="46">
        <v>400</v>
      </c>
      <c r="G329" s="24" t="s">
        <v>82</v>
      </c>
      <c r="H329" s="24" t="s">
        <v>202</v>
      </c>
      <c r="I329" s="24" t="s">
        <v>207</v>
      </c>
      <c r="J329" s="24" t="s">
        <v>222</v>
      </c>
      <c r="K329" s="24" t="s">
        <v>226</v>
      </c>
      <c r="L329" s="24" t="s">
        <v>230</v>
      </c>
      <c r="M329" s="24">
        <v>1</v>
      </c>
      <c r="N329" s="24" t="s">
        <v>76</v>
      </c>
      <c r="O329" s="24" t="s">
        <v>272</v>
      </c>
      <c r="P329" s="24" t="s">
        <v>245</v>
      </c>
      <c r="Q329" s="24" t="s">
        <v>288</v>
      </c>
      <c r="R329" s="24" t="s">
        <v>388</v>
      </c>
      <c r="S329" s="24" t="s">
        <v>485</v>
      </c>
      <c r="T329" s="24" t="s">
        <v>390</v>
      </c>
      <c r="U329" s="24" t="s">
        <v>113</v>
      </c>
    </row>
    <row r="330" spans="3:21" ht="21.9" customHeight="1" x14ac:dyDescent="0.3">
      <c r="C330" s="24">
        <v>214</v>
      </c>
      <c r="D330" s="45">
        <v>43986</v>
      </c>
      <c r="E330" s="24">
        <f t="shared" si="4"/>
        <v>6</v>
      </c>
      <c r="F330" s="46">
        <v>750</v>
      </c>
      <c r="G330" s="24" t="s">
        <v>81</v>
      </c>
      <c r="H330" s="24" t="s">
        <v>203</v>
      </c>
      <c r="I330" s="24" t="s">
        <v>207</v>
      </c>
      <c r="J330" s="24" t="s">
        <v>223</v>
      </c>
      <c r="K330" s="24" t="s">
        <v>226</v>
      </c>
      <c r="L330" s="24" t="s">
        <v>230</v>
      </c>
      <c r="M330" s="24">
        <v>3</v>
      </c>
      <c r="N330" s="24" t="s">
        <v>75</v>
      </c>
      <c r="O330" s="24" t="s">
        <v>26</v>
      </c>
      <c r="P330" s="24" t="s">
        <v>249</v>
      </c>
      <c r="Q330" s="24" t="s">
        <v>289</v>
      </c>
      <c r="R330" s="24" t="s">
        <v>56</v>
      </c>
      <c r="S330" s="24" t="s">
        <v>28</v>
      </c>
      <c r="T330" s="24" t="s">
        <v>48</v>
      </c>
      <c r="U330" s="24" t="s">
        <v>115</v>
      </c>
    </row>
    <row r="331" spans="3:21" ht="21.9" customHeight="1" x14ac:dyDescent="0.3">
      <c r="C331" s="24">
        <v>213</v>
      </c>
      <c r="D331" s="45">
        <v>43985</v>
      </c>
      <c r="E331" s="24">
        <f t="shared" si="4"/>
        <v>6</v>
      </c>
      <c r="F331" s="46">
        <v>40</v>
      </c>
      <c r="G331" s="24" t="s">
        <v>80</v>
      </c>
      <c r="H331" s="24" t="s">
        <v>204</v>
      </c>
      <c r="I331" s="24" t="s">
        <v>207</v>
      </c>
      <c r="J331" s="24" t="s">
        <v>221</v>
      </c>
      <c r="K331" s="24" t="s">
        <v>229</v>
      </c>
      <c r="L331" s="24" t="s">
        <v>221</v>
      </c>
      <c r="M331" s="24">
        <v>1</v>
      </c>
      <c r="N331" s="24" t="s">
        <v>71</v>
      </c>
      <c r="O331" s="24" t="s">
        <v>271</v>
      </c>
      <c r="P331" s="24" t="s">
        <v>286</v>
      </c>
      <c r="Q331" s="24" t="s">
        <v>288</v>
      </c>
      <c r="R331" s="24" t="s">
        <v>409</v>
      </c>
      <c r="S331" s="24" t="s">
        <v>489</v>
      </c>
      <c r="T331" s="24" t="s">
        <v>245</v>
      </c>
      <c r="U331" s="24" t="s">
        <v>113</v>
      </c>
    </row>
    <row r="332" spans="3:21" ht="21.9" customHeight="1" x14ac:dyDescent="0.3">
      <c r="C332" s="24">
        <v>212</v>
      </c>
      <c r="D332" s="45">
        <v>43984</v>
      </c>
      <c r="E332" s="24">
        <f t="shared" si="4"/>
        <v>6</v>
      </c>
      <c r="F332" s="46">
        <v>105</v>
      </c>
      <c r="G332" s="24" t="s">
        <v>79</v>
      </c>
      <c r="H332" s="24" t="s">
        <v>205</v>
      </c>
      <c r="I332" s="24" t="s">
        <v>207</v>
      </c>
      <c r="J332" s="24" t="s">
        <v>221</v>
      </c>
      <c r="K332" s="24" t="s">
        <v>229</v>
      </c>
      <c r="L332" s="24" t="s">
        <v>221</v>
      </c>
      <c r="M332" s="24">
        <v>3</v>
      </c>
      <c r="N332" s="24" t="s">
        <v>380</v>
      </c>
      <c r="O332" s="24" t="s">
        <v>381</v>
      </c>
      <c r="P332" s="24" t="s">
        <v>46</v>
      </c>
      <c r="Q332" s="24" t="s">
        <v>384</v>
      </c>
      <c r="R332" s="24" t="s">
        <v>337</v>
      </c>
      <c r="S332" s="24" t="s">
        <v>43</v>
      </c>
      <c r="T332" s="24" t="s">
        <v>49</v>
      </c>
      <c r="U332" s="24" t="s">
        <v>113</v>
      </c>
    </row>
    <row r="333" spans="3:21" ht="21.9" customHeight="1" x14ac:dyDescent="0.3">
      <c r="C333" s="24">
        <v>211</v>
      </c>
      <c r="D333" s="45">
        <v>43983</v>
      </c>
      <c r="E333" s="24">
        <f t="shared" si="4"/>
        <v>6</v>
      </c>
      <c r="F333" s="46">
        <v>90</v>
      </c>
      <c r="G333" s="24" t="s">
        <v>78</v>
      </c>
      <c r="H333" s="24" t="s">
        <v>206</v>
      </c>
      <c r="I333" s="24" t="s">
        <v>207</v>
      </c>
      <c r="J333" s="24" t="s">
        <v>221</v>
      </c>
      <c r="K333" s="24" t="s">
        <v>229</v>
      </c>
      <c r="L333" s="24" t="s">
        <v>221</v>
      </c>
      <c r="M333" s="24">
        <v>3</v>
      </c>
      <c r="N333" s="24" t="s">
        <v>71</v>
      </c>
      <c r="O333" s="24" t="s">
        <v>271</v>
      </c>
      <c r="P333" s="24" t="s">
        <v>286</v>
      </c>
      <c r="Q333" s="24" t="s">
        <v>288</v>
      </c>
      <c r="R333" s="24" t="s">
        <v>338</v>
      </c>
      <c r="S333" s="24" t="s">
        <v>311</v>
      </c>
      <c r="T333" s="24" t="s">
        <v>47</v>
      </c>
      <c r="U333" s="24" t="s">
        <v>115</v>
      </c>
    </row>
    <row r="334" spans="3:21" ht="21.9" customHeight="1" x14ac:dyDescent="0.3">
      <c r="C334" s="24">
        <v>210</v>
      </c>
      <c r="D334" s="45">
        <v>43955</v>
      </c>
      <c r="E334" s="24">
        <f t="shared" si="4"/>
        <v>5</v>
      </c>
      <c r="F334" s="46">
        <v>180</v>
      </c>
      <c r="G334" s="24" t="s">
        <v>96</v>
      </c>
      <c r="H334" s="24" t="s">
        <v>190</v>
      </c>
      <c r="I334" s="24" t="s">
        <v>208</v>
      </c>
      <c r="J334" s="24" t="s">
        <v>212</v>
      </c>
      <c r="K334" s="24" t="s">
        <v>227</v>
      </c>
      <c r="L334" s="24" t="s">
        <v>223</v>
      </c>
      <c r="M334" s="24">
        <v>3</v>
      </c>
      <c r="N334" s="24" t="s">
        <v>75</v>
      </c>
      <c r="O334" s="24" t="s">
        <v>26</v>
      </c>
      <c r="P334" s="24" t="s">
        <v>249</v>
      </c>
      <c r="Q334" s="24" t="s">
        <v>289</v>
      </c>
      <c r="R334" s="24" t="s">
        <v>476</v>
      </c>
      <c r="S334" s="24" t="s">
        <v>477</v>
      </c>
      <c r="T334" s="24" t="s">
        <v>253</v>
      </c>
      <c r="U334" s="24" t="s">
        <v>113</v>
      </c>
    </row>
    <row r="335" spans="3:21" ht="21.9" customHeight="1" x14ac:dyDescent="0.3">
      <c r="C335" s="24">
        <v>209</v>
      </c>
      <c r="D335" s="45">
        <v>43954</v>
      </c>
      <c r="E335" s="24">
        <f t="shared" si="4"/>
        <v>5</v>
      </c>
      <c r="F335" s="46">
        <v>200</v>
      </c>
      <c r="G335" s="24" t="s">
        <v>95</v>
      </c>
      <c r="H335" s="24" t="s">
        <v>191</v>
      </c>
      <c r="I335" s="24" t="s">
        <v>207</v>
      </c>
      <c r="J335" s="24" t="s">
        <v>222</v>
      </c>
      <c r="K335" s="24" t="s">
        <v>226</v>
      </c>
      <c r="L335" s="24" t="s">
        <v>231</v>
      </c>
      <c r="M335" s="24">
        <v>2</v>
      </c>
      <c r="N335" s="24" t="s">
        <v>71</v>
      </c>
      <c r="O335" s="24" t="s">
        <v>271</v>
      </c>
      <c r="P335" s="24" t="s">
        <v>286</v>
      </c>
      <c r="Q335" s="24" t="s">
        <v>288</v>
      </c>
      <c r="R335" s="24" t="s">
        <v>398</v>
      </c>
      <c r="S335" s="24" t="s">
        <v>487</v>
      </c>
      <c r="T335" s="24" t="s">
        <v>401</v>
      </c>
      <c r="U335" s="24" t="s">
        <v>113</v>
      </c>
    </row>
    <row r="336" spans="3:21" ht="21.9" customHeight="1" x14ac:dyDescent="0.3">
      <c r="C336" s="24">
        <v>208</v>
      </c>
      <c r="D336" s="45">
        <v>43953</v>
      </c>
      <c r="E336" s="24">
        <f t="shared" si="4"/>
        <v>5</v>
      </c>
      <c r="F336" s="46">
        <v>900</v>
      </c>
      <c r="G336" s="24" t="s">
        <v>94</v>
      </c>
      <c r="H336" s="24" t="s">
        <v>192</v>
      </c>
      <c r="I336" s="24" t="s">
        <v>207</v>
      </c>
      <c r="J336" s="24" t="s">
        <v>216</v>
      </c>
      <c r="K336" s="24" t="s">
        <v>187</v>
      </c>
      <c r="L336" s="24" t="s">
        <v>232</v>
      </c>
      <c r="M336" s="24">
        <v>3</v>
      </c>
      <c r="N336" s="24" t="s">
        <v>77</v>
      </c>
      <c r="O336" s="24" t="s">
        <v>273</v>
      </c>
      <c r="P336" s="24" t="s">
        <v>241</v>
      </c>
      <c r="Q336" s="24" t="s">
        <v>287</v>
      </c>
      <c r="R336" s="24" t="s">
        <v>342</v>
      </c>
      <c r="S336" s="24" t="s">
        <v>323</v>
      </c>
      <c r="T336" s="24" t="s">
        <v>46</v>
      </c>
      <c r="U336" s="24" t="s">
        <v>115</v>
      </c>
    </row>
    <row r="337" spans="3:21" ht="21.9" customHeight="1" x14ac:dyDescent="0.3">
      <c r="C337" s="24">
        <v>207</v>
      </c>
      <c r="D337" s="45">
        <v>43980</v>
      </c>
      <c r="E337" s="24">
        <f t="shared" si="4"/>
        <v>5</v>
      </c>
      <c r="F337" s="46">
        <v>700</v>
      </c>
      <c r="G337" s="24" t="s">
        <v>93</v>
      </c>
      <c r="H337" s="24" t="s">
        <v>193</v>
      </c>
      <c r="I337" s="24" t="s">
        <v>208</v>
      </c>
      <c r="J337" s="24" t="s">
        <v>218</v>
      </c>
      <c r="K337" s="24" t="s">
        <v>187</v>
      </c>
      <c r="L337" s="24" t="s">
        <v>186</v>
      </c>
      <c r="M337" s="24">
        <v>2</v>
      </c>
      <c r="N337" s="24" t="s">
        <v>73</v>
      </c>
      <c r="O337" s="24" t="s">
        <v>268</v>
      </c>
      <c r="P337" s="24" t="s">
        <v>262</v>
      </c>
      <c r="Q337" s="24" t="s">
        <v>288</v>
      </c>
      <c r="R337" s="24" t="s">
        <v>339</v>
      </c>
      <c r="S337" s="24" t="s">
        <v>314</v>
      </c>
      <c r="T337" s="24" t="s">
        <v>44</v>
      </c>
      <c r="U337" s="24" t="s">
        <v>113</v>
      </c>
    </row>
    <row r="338" spans="3:21" ht="21.9" customHeight="1" x14ac:dyDescent="0.3">
      <c r="C338" s="24">
        <v>206</v>
      </c>
      <c r="D338" s="45">
        <v>43979</v>
      </c>
      <c r="E338" s="24">
        <f t="shared" si="4"/>
        <v>5</v>
      </c>
      <c r="F338" s="46">
        <v>270</v>
      </c>
      <c r="G338" s="24" t="s">
        <v>92</v>
      </c>
      <c r="H338" s="24" t="s">
        <v>225</v>
      </c>
      <c r="I338" s="24" t="s">
        <v>207</v>
      </c>
      <c r="J338" s="24" t="s">
        <v>219</v>
      </c>
      <c r="K338" s="24" t="s">
        <v>226</v>
      </c>
      <c r="L338" s="24" t="s">
        <v>186</v>
      </c>
      <c r="M338" s="24">
        <v>1</v>
      </c>
      <c r="N338" s="24" t="s">
        <v>51</v>
      </c>
      <c r="O338" s="24" t="s">
        <v>269</v>
      </c>
      <c r="P338" s="24" t="s">
        <v>262</v>
      </c>
      <c r="Q338" s="24" t="s">
        <v>288</v>
      </c>
      <c r="R338" s="24" t="s">
        <v>59</v>
      </c>
      <c r="S338" s="24" t="s">
        <v>31</v>
      </c>
      <c r="T338" s="24" t="s">
        <v>327</v>
      </c>
      <c r="U338" s="24" t="s">
        <v>114</v>
      </c>
    </row>
    <row r="339" spans="3:21" ht="21.9" customHeight="1" x14ac:dyDescent="0.3">
      <c r="C339" s="24">
        <v>205</v>
      </c>
      <c r="D339" s="45">
        <v>43978</v>
      </c>
      <c r="E339" s="24">
        <f t="shared" si="4"/>
        <v>5</v>
      </c>
      <c r="F339" s="46">
        <v>500</v>
      </c>
      <c r="G339" s="24" t="s">
        <v>91</v>
      </c>
      <c r="H339" s="24" t="s">
        <v>194</v>
      </c>
      <c r="I339" s="24" t="s">
        <v>209</v>
      </c>
      <c r="J339" s="24" t="s">
        <v>219</v>
      </c>
      <c r="K339" s="24" t="s">
        <v>187</v>
      </c>
      <c r="L339" s="24" t="s">
        <v>186</v>
      </c>
      <c r="M339" s="24">
        <v>1</v>
      </c>
      <c r="N339" s="24" t="s">
        <v>73</v>
      </c>
      <c r="O339" s="24" t="s">
        <v>268</v>
      </c>
      <c r="P339" s="24" t="s">
        <v>262</v>
      </c>
      <c r="Q339" s="24" t="s">
        <v>288</v>
      </c>
      <c r="R339" s="24" t="s">
        <v>70</v>
      </c>
      <c r="S339" s="24" t="s">
        <v>42</v>
      </c>
      <c r="T339" s="24" t="s">
        <v>47</v>
      </c>
      <c r="U339" s="24" t="s">
        <v>114</v>
      </c>
    </row>
    <row r="340" spans="3:21" ht="21.9" customHeight="1" x14ac:dyDescent="0.3">
      <c r="C340" s="24">
        <v>204</v>
      </c>
      <c r="D340" s="45">
        <v>43977</v>
      </c>
      <c r="E340" s="24">
        <f t="shared" si="4"/>
        <v>5</v>
      </c>
      <c r="F340" s="46">
        <v>1800</v>
      </c>
      <c r="G340" s="24" t="s">
        <v>90</v>
      </c>
      <c r="H340" s="24" t="s">
        <v>188</v>
      </c>
      <c r="I340" s="24" t="s">
        <v>209</v>
      </c>
      <c r="J340" s="24" t="s">
        <v>220</v>
      </c>
      <c r="K340" s="24" t="s">
        <v>187</v>
      </c>
      <c r="L340" s="24" t="s">
        <v>220</v>
      </c>
      <c r="M340" s="24">
        <v>2</v>
      </c>
      <c r="N340" s="24" t="s">
        <v>74</v>
      </c>
      <c r="O340" s="24" t="s">
        <v>270</v>
      </c>
      <c r="P340" s="24" t="s">
        <v>260</v>
      </c>
      <c r="Q340" s="24" t="s">
        <v>288</v>
      </c>
      <c r="R340" s="24" t="s">
        <v>70</v>
      </c>
      <c r="S340" s="24" t="s">
        <v>42</v>
      </c>
      <c r="T340" s="24" t="s">
        <v>47</v>
      </c>
      <c r="U340" s="24" t="s">
        <v>114</v>
      </c>
    </row>
    <row r="341" spans="3:21" ht="21.9" customHeight="1" x14ac:dyDescent="0.3">
      <c r="C341" s="24">
        <v>203</v>
      </c>
      <c r="D341" s="45">
        <v>43976</v>
      </c>
      <c r="E341" s="24">
        <f t="shared" si="4"/>
        <v>5</v>
      </c>
      <c r="F341" s="46">
        <v>120</v>
      </c>
      <c r="G341" s="24" t="s">
        <v>89</v>
      </c>
      <c r="H341" s="24" t="s">
        <v>195</v>
      </c>
      <c r="I341" s="24" t="s">
        <v>207</v>
      </c>
      <c r="J341" s="24" t="s">
        <v>223</v>
      </c>
      <c r="K341" s="24" t="s">
        <v>226</v>
      </c>
      <c r="L341" s="24" t="s">
        <v>220</v>
      </c>
      <c r="M341" s="24">
        <v>2</v>
      </c>
      <c r="N341" s="24" t="s">
        <v>72</v>
      </c>
      <c r="O341" s="24" t="s">
        <v>250</v>
      </c>
      <c r="P341" s="24" t="s">
        <v>253</v>
      </c>
      <c r="Q341" s="24" t="s">
        <v>384</v>
      </c>
      <c r="R341" s="24" t="s">
        <v>340</v>
      </c>
      <c r="S341" s="24" t="s">
        <v>317</v>
      </c>
      <c r="T341" s="24" t="s">
        <v>327</v>
      </c>
      <c r="U341" s="24" t="s">
        <v>114</v>
      </c>
    </row>
    <row r="342" spans="3:21" ht="21.9" customHeight="1" x14ac:dyDescent="0.3">
      <c r="C342" s="24">
        <v>202</v>
      </c>
      <c r="D342" s="45">
        <v>43975</v>
      </c>
      <c r="E342" s="24">
        <f t="shared" si="4"/>
        <v>5</v>
      </c>
      <c r="F342" s="46">
        <v>140</v>
      </c>
      <c r="G342" s="24" t="s">
        <v>88</v>
      </c>
      <c r="H342" s="24" t="s">
        <v>196</v>
      </c>
      <c r="I342" s="24" t="s">
        <v>208</v>
      </c>
      <c r="J342" s="24" t="s">
        <v>216</v>
      </c>
      <c r="K342" s="24" t="s">
        <v>226</v>
      </c>
      <c r="L342" s="24" t="s">
        <v>230</v>
      </c>
      <c r="M342" s="24">
        <v>2</v>
      </c>
      <c r="N342" s="24" t="s">
        <v>74</v>
      </c>
      <c r="O342" s="24" t="s">
        <v>270</v>
      </c>
      <c r="P342" s="24" t="s">
        <v>260</v>
      </c>
      <c r="Q342" s="24" t="s">
        <v>288</v>
      </c>
      <c r="R342" s="24" t="s">
        <v>404</v>
      </c>
      <c r="S342" s="24" t="s">
        <v>488</v>
      </c>
      <c r="T342" s="24" t="s">
        <v>241</v>
      </c>
      <c r="U342" s="24" t="s">
        <v>518</v>
      </c>
    </row>
    <row r="343" spans="3:21" ht="21.9" customHeight="1" x14ac:dyDescent="0.3">
      <c r="C343" s="24">
        <v>201</v>
      </c>
      <c r="D343" s="45">
        <v>43974</v>
      </c>
      <c r="E343" s="24">
        <f t="shared" si="4"/>
        <v>5</v>
      </c>
      <c r="F343" s="46">
        <v>76</v>
      </c>
      <c r="G343" s="24" t="s">
        <v>87</v>
      </c>
      <c r="H343" s="24" t="s">
        <v>197</v>
      </c>
      <c r="I343" s="24" t="s">
        <v>208</v>
      </c>
      <c r="J343" s="24" t="s">
        <v>222</v>
      </c>
      <c r="K343" s="24" t="s">
        <v>226</v>
      </c>
      <c r="L343" s="24" t="s">
        <v>230</v>
      </c>
      <c r="M343" s="24">
        <v>1</v>
      </c>
      <c r="N343" s="24" t="s">
        <v>71</v>
      </c>
      <c r="O343" s="24" t="s">
        <v>271</v>
      </c>
      <c r="P343" s="24" t="s">
        <v>286</v>
      </c>
      <c r="Q343" s="24" t="s">
        <v>288</v>
      </c>
      <c r="R343" s="24" t="s">
        <v>63</v>
      </c>
      <c r="S343" s="24" t="s">
        <v>35</v>
      </c>
      <c r="T343" s="24" t="s">
        <v>45</v>
      </c>
      <c r="U343" s="24" t="s">
        <v>113</v>
      </c>
    </row>
    <row r="344" spans="3:21" ht="21.9" customHeight="1" x14ac:dyDescent="0.3">
      <c r="C344" s="24">
        <v>200</v>
      </c>
      <c r="D344" s="45">
        <v>43973</v>
      </c>
      <c r="E344" s="24">
        <f t="shared" si="4"/>
        <v>5</v>
      </c>
      <c r="F344" s="46">
        <v>1200</v>
      </c>
      <c r="G344" s="24" t="s">
        <v>86</v>
      </c>
      <c r="H344" s="24" t="s">
        <v>198</v>
      </c>
      <c r="I344" s="24" t="s">
        <v>207</v>
      </c>
      <c r="J344" s="24" t="s">
        <v>224</v>
      </c>
      <c r="K344" s="24" t="s">
        <v>228</v>
      </c>
      <c r="L344" s="24" t="s">
        <v>230</v>
      </c>
      <c r="M344" s="24">
        <v>2</v>
      </c>
      <c r="N344" s="24" t="s">
        <v>73</v>
      </c>
      <c r="O344" s="24" t="s">
        <v>268</v>
      </c>
      <c r="P344" s="24" t="s">
        <v>262</v>
      </c>
      <c r="Q344" s="24" t="s">
        <v>288</v>
      </c>
      <c r="R344" s="24" t="s">
        <v>459</v>
      </c>
      <c r="S344" s="24" t="s">
        <v>498</v>
      </c>
      <c r="T344" s="24" t="s">
        <v>462</v>
      </c>
      <c r="U344" s="24" t="s">
        <v>113</v>
      </c>
    </row>
    <row r="345" spans="3:21" ht="21.9" customHeight="1" x14ac:dyDescent="0.3">
      <c r="C345" s="24">
        <v>199</v>
      </c>
      <c r="D345" s="45">
        <v>43972</v>
      </c>
      <c r="E345" s="24">
        <f t="shared" si="4"/>
        <v>5</v>
      </c>
      <c r="F345" s="46">
        <v>510</v>
      </c>
      <c r="G345" s="24" t="s">
        <v>85</v>
      </c>
      <c r="H345" s="24" t="s">
        <v>199</v>
      </c>
      <c r="I345" s="24" t="s">
        <v>209</v>
      </c>
      <c r="J345" s="24" t="s">
        <v>216</v>
      </c>
      <c r="K345" s="24" t="s">
        <v>228</v>
      </c>
      <c r="L345" s="24" t="s">
        <v>221</v>
      </c>
      <c r="M345" s="24">
        <v>3</v>
      </c>
      <c r="N345" s="24" t="s">
        <v>51</v>
      </c>
      <c r="O345" s="24" t="s">
        <v>269</v>
      </c>
      <c r="P345" s="24" t="s">
        <v>262</v>
      </c>
      <c r="Q345" s="24" t="s">
        <v>288</v>
      </c>
      <c r="R345" s="24" t="s">
        <v>53</v>
      </c>
      <c r="S345" s="24" t="s">
        <v>25</v>
      </c>
      <c r="T345" s="24" t="s">
        <v>45</v>
      </c>
      <c r="U345" s="24" t="s">
        <v>113</v>
      </c>
    </row>
    <row r="346" spans="3:21" ht="21.9" customHeight="1" x14ac:dyDescent="0.3">
      <c r="C346" s="24">
        <v>198</v>
      </c>
      <c r="D346" s="45">
        <v>43980</v>
      </c>
      <c r="E346" s="24">
        <f t="shared" si="4"/>
        <v>5</v>
      </c>
      <c r="F346" s="46">
        <v>1200</v>
      </c>
      <c r="G346" s="24" t="s">
        <v>84</v>
      </c>
      <c r="H346" s="24" t="s">
        <v>200</v>
      </c>
      <c r="I346" s="24" t="s">
        <v>208</v>
      </c>
      <c r="J346" s="24" t="s">
        <v>222</v>
      </c>
      <c r="K346" s="24" t="s">
        <v>228</v>
      </c>
      <c r="L346" s="24" t="s">
        <v>220</v>
      </c>
      <c r="M346" s="24">
        <v>3</v>
      </c>
      <c r="N346" s="24" t="s">
        <v>73</v>
      </c>
      <c r="O346" s="24" t="s">
        <v>268</v>
      </c>
      <c r="P346" s="24" t="s">
        <v>262</v>
      </c>
      <c r="Q346" s="24" t="s">
        <v>288</v>
      </c>
      <c r="R346" s="24" t="s">
        <v>60</v>
      </c>
      <c r="S346" s="24" t="s">
        <v>32</v>
      </c>
      <c r="T346" s="24" t="s">
        <v>48</v>
      </c>
      <c r="U346" s="24" t="s">
        <v>113</v>
      </c>
    </row>
    <row r="347" spans="3:21" ht="21.9" customHeight="1" x14ac:dyDescent="0.3">
      <c r="C347" s="24">
        <v>197</v>
      </c>
      <c r="D347" s="45">
        <v>43979</v>
      </c>
      <c r="E347" s="24">
        <f t="shared" si="4"/>
        <v>5</v>
      </c>
      <c r="F347" s="46">
        <v>1600</v>
      </c>
      <c r="G347" s="24" t="s">
        <v>83</v>
      </c>
      <c r="H347" s="24" t="s">
        <v>201</v>
      </c>
      <c r="I347" s="24" t="s">
        <v>208</v>
      </c>
      <c r="J347" s="24" t="s">
        <v>222</v>
      </c>
      <c r="K347" s="24" t="s">
        <v>226</v>
      </c>
      <c r="L347" s="24" t="s">
        <v>230</v>
      </c>
      <c r="M347" s="24">
        <v>2</v>
      </c>
      <c r="N347" s="24" t="s">
        <v>71</v>
      </c>
      <c r="O347" s="24" t="s">
        <v>271</v>
      </c>
      <c r="P347" s="24" t="s">
        <v>286</v>
      </c>
      <c r="Q347" s="24" t="s">
        <v>288</v>
      </c>
      <c r="R347" s="24" t="s">
        <v>347</v>
      </c>
      <c r="S347" s="24" t="s">
        <v>335</v>
      </c>
      <c r="T347" s="24" t="s">
        <v>49</v>
      </c>
      <c r="U347" s="24" t="s">
        <v>113</v>
      </c>
    </row>
    <row r="348" spans="3:21" ht="21.9" customHeight="1" x14ac:dyDescent="0.3">
      <c r="C348" s="24">
        <v>196</v>
      </c>
      <c r="D348" s="45">
        <v>43978</v>
      </c>
      <c r="E348" s="24">
        <f t="shared" si="4"/>
        <v>5</v>
      </c>
      <c r="F348" s="46">
        <v>1200</v>
      </c>
      <c r="G348" s="24" t="s">
        <v>82</v>
      </c>
      <c r="H348" s="24" t="s">
        <v>202</v>
      </c>
      <c r="I348" s="24" t="s">
        <v>207</v>
      </c>
      <c r="J348" s="24" t="s">
        <v>222</v>
      </c>
      <c r="K348" s="24" t="s">
        <v>226</v>
      </c>
      <c r="L348" s="24" t="s">
        <v>230</v>
      </c>
      <c r="M348" s="24">
        <v>3</v>
      </c>
      <c r="N348" s="24" t="s">
        <v>77</v>
      </c>
      <c r="O348" s="24" t="s">
        <v>273</v>
      </c>
      <c r="P348" s="24" t="s">
        <v>241</v>
      </c>
      <c r="Q348" s="24" t="s">
        <v>287</v>
      </c>
      <c r="R348" s="24" t="s">
        <v>342</v>
      </c>
      <c r="S348" s="24" t="s">
        <v>323</v>
      </c>
      <c r="T348" s="24" t="s">
        <v>46</v>
      </c>
      <c r="U348" s="24" t="s">
        <v>115</v>
      </c>
    </row>
    <row r="349" spans="3:21" ht="21.9" customHeight="1" x14ac:dyDescent="0.3">
      <c r="C349" s="24">
        <v>195</v>
      </c>
      <c r="D349" s="45">
        <v>43977</v>
      </c>
      <c r="E349" s="24">
        <f t="shared" si="4"/>
        <v>5</v>
      </c>
      <c r="F349" s="46">
        <v>500</v>
      </c>
      <c r="G349" s="24" t="s">
        <v>81</v>
      </c>
      <c r="H349" s="24" t="s">
        <v>203</v>
      </c>
      <c r="I349" s="24" t="s">
        <v>207</v>
      </c>
      <c r="J349" s="24" t="s">
        <v>223</v>
      </c>
      <c r="K349" s="24" t="s">
        <v>226</v>
      </c>
      <c r="L349" s="24" t="s">
        <v>230</v>
      </c>
      <c r="M349" s="24">
        <v>2</v>
      </c>
      <c r="N349" s="24" t="s">
        <v>77</v>
      </c>
      <c r="O349" s="24" t="s">
        <v>273</v>
      </c>
      <c r="P349" s="24" t="s">
        <v>241</v>
      </c>
      <c r="Q349" s="24" t="s">
        <v>287</v>
      </c>
      <c r="R349" s="24" t="s">
        <v>419</v>
      </c>
      <c r="S349" s="24" t="s">
        <v>491</v>
      </c>
      <c r="T349" s="24" t="s">
        <v>422</v>
      </c>
      <c r="U349" s="24" t="s">
        <v>113</v>
      </c>
    </row>
    <row r="350" spans="3:21" ht="21.9" customHeight="1" x14ac:dyDescent="0.3">
      <c r="C350" s="24">
        <v>194</v>
      </c>
      <c r="D350" s="45">
        <v>43976</v>
      </c>
      <c r="E350" s="24">
        <f t="shared" si="4"/>
        <v>5</v>
      </c>
      <c r="F350" s="46">
        <v>80</v>
      </c>
      <c r="G350" s="24" t="s">
        <v>80</v>
      </c>
      <c r="H350" s="24" t="s">
        <v>204</v>
      </c>
      <c r="I350" s="24" t="s">
        <v>207</v>
      </c>
      <c r="J350" s="24" t="s">
        <v>221</v>
      </c>
      <c r="K350" s="24" t="s">
        <v>229</v>
      </c>
      <c r="L350" s="24" t="s">
        <v>221</v>
      </c>
      <c r="M350" s="24">
        <v>2</v>
      </c>
      <c r="N350" s="24" t="s">
        <v>71</v>
      </c>
      <c r="O350" s="24" t="s">
        <v>271</v>
      </c>
      <c r="P350" s="24" t="s">
        <v>286</v>
      </c>
      <c r="Q350" s="24" t="s">
        <v>288</v>
      </c>
      <c r="R350" s="24" t="s">
        <v>437</v>
      </c>
      <c r="S350" s="24" t="s">
        <v>494</v>
      </c>
      <c r="T350" s="24" t="s">
        <v>262</v>
      </c>
      <c r="U350" s="24" t="s">
        <v>113</v>
      </c>
    </row>
    <row r="351" spans="3:21" ht="21.9" customHeight="1" x14ac:dyDescent="0.3">
      <c r="C351" s="24">
        <v>193</v>
      </c>
      <c r="D351" s="45">
        <v>43975</v>
      </c>
      <c r="E351" s="24">
        <f t="shared" si="4"/>
        <v>5</v>
      </c>
      <c r="F351" s="46">
        <v>70</v>
      </c>
      <c r="G351" s="24" t="s">
        <v>79</v>
      </c>
      <c r="H351" s="24" t="s">
        <v>205</v>
      </c>
      <c r="I351" s="24" t="s">
        <v>207</v>
      </c>
      <c r="J351" s="24" t="s">
        <v>221</v>
      </c>
      <c r="K351" s="24" t="s">
        <v>229</v>
      </c>
      <c r="L351" s="24" t="s">
        <v>221</v>
      </c>
      <c r="M351" s="24">
        <v>2</v>
      </c>
      <c r="N351" s="24" t="s">
        <v>77</v>
      </c>
      <c r="O351" s="24" t="s">
        <v>273</v>
      </c>
      <c r="P351" s="24" t="s">
        <v>241</v>
      </c>
      <c r="Q351" s="24" t="s">
        <v>287</v>
      </c>
      <c r="R351" s="24" t="s">
        <v>442</v>
      </c>
      <c r="S351" s="24" t="s">
        <v>495</v>
      </c>
      <c r="T351" s="24" t="s">
        <v>445</v>
      </c>
      <c r="U351" s="24" t="s">
        <v>113</v>
      </c>
    </row>
    <row r="352" spans="3:21" ht="21.9" customHeight="1" x14ac:dyDescent="0.3">
      <c r="C352" s="24">
        <v>192</v>
      </c>
      <c r="D352" s="45">
        <v>43974</v>
      </c>
      <c r="E352" s="24">
        <f t="shared" si="4"/>
        <v>5</v>
      </c>
      <c r="F352" s="46">
        <v>90</v>
      </c>
      <c r="G352" s="24" t="s">
        <v>78</v>
      </c>
      <c r="H352" s="24" t="s">
        <v>206</v>
      </c>
      <c r="I352" s="24" t="s">
        <v>207</v>
      </c>
      <c r="J352" s="24" t="s">
        <v>221</v>
      </c>
      <c r="K352" s="24" t="s">
        <v>229</v>
      </c>
      <c r="L352" s="24" t="s">
        <v>221</v>
      </c>
      <c r="M352" s="24">
        <v>3</v>
      </c>
      <c r="N352" s="24" t="s">
        <v>72</v>
      </c>
      <c r="O352" s="24" t="s">
        <v>250</v>
      </c>
      <c r="P352" s="24" t="s">
        <v>253</v>
      </c>
      <c r="Q352" s="24" t="s">
        <v>384</v>
      </c>
      <c r="R352" s="24" t="s">
        <v>448</v>
      </c>
      <c r="S352" s="24" t="s">
        <v>496</v>
      </c>
      <c r="T352" s="24" t="s">
        <v>451</v>
      </c>
      <c r="U352" s="24" t="s">
        <v>113</v>
      </c>
    </row>
    <row r="353" spans="3:21" ht="21.9" customHeight="1" x14ac:dyDescent="0.3">
      <c r="C353" s="24">
        <v>191</v>
      </c>
      <c r="D353" s="45">
        <v>43973</v>
      </c>
      <c r="E353" s="24">
        <f t="shared" si="4"/>
        <v>5</v>
      </c>
      <c r="F353" s="46">
        <v>3200</v>
      </c>
      <c r="G353" s="24" t="s">
        <v>121</v>
      </c>
      <c r="H353" s="24" t="s">
        <v>183</v>
      </c>
      <c r="I353" s="24" t="s">
        <v>207</v>
      </c>
      <c r="J353" s="24" t="s">
        <v>210</v>
      </c>
      <c r="K353" s="24" t="s">
        <v>184</v>
      </c>
      <c r="L353" s="24" t="s">
        <v>230</v>
      </c>
      <c r="M353" s="24">
        <v>2</v>
      </c>
      <c r="N353" s="24" t="s">
        <v>71</v>
      </c>
      <c r="O353" s="24" t="s">
        <v>271</v>
      </c>
      <c r="P353" s="24" t="s">
        <v>286</v>
      </c>
      <c r="Q353" s="24" t="s">
        <v>288</v>
      </c>
      <c r="R353" s="24" t="s">
        <v>345</v>
      </c>
      <c r="S353" s="24" t="s">
        <v>330</v>
      </c>
      <c r="T353" s="24" t="s">
        <v>44</v>
      </c>
      <c r="U353" s="24" t="s">
        <v>113</v>
      </c>
    </row>
    <row r="354" spans="3:21" ht="21.9" customHeight="1" x14ac:dyDescent="0.3">
      <c r="C354" s="24">
        <v>190</v>
      </c>
      <c r="D354" s="45">
        <v>43972</v>
      </c>
      <c r="E354" s="24">
        <f t="shared" si="4"/>
        <v>5</v>
      </c>
      <c r="F354" s="46">
        <v>2800</v>
      </c>
      <c r="G354" s="24" t="s">
        <v>120</v>
      </c>
      <c r="H354" s="24" t="s">
        <v>185</v>
      </c>
      <c r="I354" s="24" t="s">
        <v>207</v>
      </c>
      <c r="J354" s="24" t="s">
        <v>210</v>
      </c>
      <c r="K354" s="24" t="s">
        <v>184</v>
      </c>
      <c r="L354" s="24" t="s">
        <v>230</v>
      </c>
      <c r="M354" s="24">
        <v>1</v>
      </c>
      <c r="N354" s="24" t="s">
        <v>76</v>
      </c>
      <c r="O354" s="24" t="s">
        <v>272</v>
      </c>
      <c r="P354" s="24" t="s">
        <v>245</v>
      </c>
      <c r="Q354" s="24" t="s">
        <v>288</v>
      </c>
      <c r="R354" s="24" t="s">
        <v>476</v>
      </c>
      <c r="S354" s="24" t="s">
        <v>477</v>
      </c>
      <c r="T354" s="24" t="s">
        <v>253</v>
      </c>
      <c r="U354" s="24" t="s">
        <v>113</v>
      </c>
    </row>
    <row r="355" spans="3:21" ht="21.9" customHeight="1" x14ac:dyDescent="0.3">
      <c r="C355" s="24">
        <v>189</v>
      </c>
      <c r="D355" s="45">
        <v>43971</v>
      </c>
      <c r="E355" s="24">
        <f t="shared" si="4"/>
        <v>5</v>
      </c>
      <c r="F355" s="46">
        <v>160</v>
      </c>
      <c r="G355" s="24" t="s">
        <v>97</v>
      </c>
      <c r="H355" s="24" t="s">
        <v>189</v>
      </c>
      <c r="I355" s="24" t="s">
        <v>207</v>
      </c>
      <c r="J355" s="24" t="s">
        <v>211</v>
      </c>
      <c r="K355" s="24" t="s">
        <v>227</v>
      </c>
      <c r="L355" s="24" t="s">
        <v>186</v>
      </c>
      <c r="M355" s="24">
        <v>2</v>
      </c>
      <c r="N355" s="24" t="s">
        <v>51</v>
      </c>
      <c r="O355" s="24" t="s">
        <v>269</v>
      </c>
      <c r="P355" s="24" t="s">
        <v>262</v>
      </c>
      <c r="Q355" s="24" t="s">
        <v>288</v>
      </c>
      <c r="R355" s="24" t="s">
        <v>68</v>
      </c>
      <c r="S355" s="24" t="s">
        <v>40</v>
      </c>
      <c r="T355" s="24" t="s">
        <v>46</v>
      </c>
      <c r="U355" s="24" t="s">
        <v>115</v>
      </c>
    </row>
    <row r="356" spans="3:21" ht="21.9" customHeight="1" x14ac:dyDescent="0.3">
      <c r="C356" s="24">
        <v>188</v>
      </c>
      <c r="D356" s="45">
        <v>43970</v>
      </c>
      <c r="E356" s="24">
        <f t="shared" si="4"/>
        <v>5</v>
      </c>
      <c r="F356" s="46">
        <v>120</v>
      </c>
      <c r="G356" s="24" t="s">
        <v>96</v>
      </c>
      <c r="H356" s="24" t="s">
        <v>190</v>
      </c>
      <c r="I356" s="24" t="s">
        <v>208</v>
      </c>
      <c r="J356" s="24" t="s">
        <v>212</v>
      </c>
      <c r="K356" s="24" t="s">
        <v>227</v>
      </c>
      <c r="L356" s="24" t="s">
        <v>223</v>
      </c>
      <c r="M356" s="24">
        <v>2</v>
      </c>
      <c r="N356" s="24" t="s">
        <v>71</v>
      </c>
      <c r="O356" s="24" t="s">
        <v>271</v>
      </c>
      <c r="P356" s="24" t="s">
        <v>286</v>
      </c>
      <c r="Q356" s="24" t="s">
        <v>288</v>
      </c>
      <c r="R356" s="24" t="s">
        <v>59</v>
      </c>
      <c r="S356" s="24" t="s">
        <v>31</v>
      </c>
      <c r="T356" s="24" t="s">
        <v>327</v>
      </c>
      <c r="U356" s="24" t="s">
        <v>114</v>
      </c>
    </row>
    <row r="357" spans="3:21" ht="21.9" customHeight="1" x14ac:dyDescent="0.3">
      <c r="C357" s="24">
        <v>187</v>
      </c>
      <c r="D357" s="45">
        <v>43969</v>
      </c>
      <c r="E357" s="24">
        <f t="shared" si="4"/>
        <v>5</v>
      </c>
      <c r="F357" s="46">
        <v>100</v>
      </c>
      <c r="G357" s="24" t="s">
        <v>95</v>
      </c>
      <c r="H357" s="24" t="s">
        <v>191</v>
      </c>
      <c r="I357" s="24" t="s">
        <v>207</v>
      </c>
      <c r="J357" s="24" t="s">
        <v>222</v>
      </c>
      <c r="K357" s="24" t="s">
        <v>226</v>
      </c>
      <c r="L357" s="24" t="s">
        <v>231</v>
      </c>
      <c r="M357" s="24">
        <v>1</v>
      </c>
      <c r="N357" s="24" t="s">
        <v>72</v>
      </c>
      <c r="O357" s="24" t="s">
        <v>250</v>
      </c>
      <c r="P357" s="24" t="s">
        <v>253</v>
      </c>
      <c r="Q357" s="24" t="s">
        <v>384</v>
      </c>
      <c r="R357" s="24" t="s">
        <v>54</v>
      </c>
      <c r="S357" s="24" t="s">
        <v>26</v>
      </c>
      <c r="T357" s="24" t="s">
        <v>46</v>
      </c>
      <c r="U357" s="24" t="s">
        <v>114</v>
      </c>
    </row>
    <row r="358" spans="3:21" ht="21.9" customHeight="1" x14ac:dyDescent="0.3">
      <c r="C358" s="24">
        <v>186</v>
      </c>
      <c r="D358" s="45">
        <v>43968</v>
      </c>
      <c r="E358" s="24">
        <f t="shared" ref="E358:E421" si="5">MONTH(D358)</f>
        <v>5</v>
      </c>
      <c r="F358" s="46">
        <v>300</v>
      </c>
      <c r="G358" s="24" t="s">
        <v>94</v>
      </c>
      <c r="H358" s="24" t="s">
        <v>192</v>
      </c>
      <c r="I358" s="24" t="s">
        <v>207</v>
      </c>
      <c r="J358" s="24" t="s">
        <v>216</v>
      </c>
      <c r="K358" s="24" t="s">
        <v>187</v>
      </c>
      <c r="L358" s="24" t="s">
        <v>232</v>
      </c>
      <c r="M358" s="24">
        <v>1</v>
      </c>
      <c r="N358" s="24" t="s">
        <v>380</v>
      </c>
      <c r="O358" s="24" t="s">
        <v>381</v>
      </c>
      <c r="P358" s="24" t="s">
        <v>46</v>
      </c>
      <c r="Q358" s="24" t="s">
        <v>384</v>
      </c>
      <c r="R358" s="24" t="s">
        <v>404</v>
      </c>
      <c r="S358" s="24" t="s">
        <v>488</v>
      </c>
      <c r="T358" s="24" t="s">
        <v>241</v>
      </c>
      <c r="U358" s="24" t="s">
        <v>518</v>
      </c>
    </row>
    <row r="359" spans="3:21" ht="21.9" customHeight="1" x14ac:dyDescent="0.3">
      <c r="C359" s="24">
        <v>185</v>
      </c>
      <c r="D359" s="45">
        <v>43967</v>
      </c>
      <c r="E359" s="24">
        <f t="shared" si="5"/>
        <v>5</v>
      </c>
      <c r="F359" s="46">
        <v>350</v>
      </c>
      <c r="G359" s="24" t="s">
        <v>93</v>
      </c>
      <c r="H359" s="24" t="s">
        <v>193</v>
      </c>
      <c r="I359" s="24" t="s">
        <v>208</v>
      </c>
      <c r="J359" s="24" t="s">
        <v>218</v>
      </c>
      <c r="K359" s="24" t="s">
        <v>187</v>
      </c>
      <c r="L359" s="24" t="s">
        <v>186</v>
      </c>
      <c r="M359" s="24">
        <v>1</v>
      </c>
      <c r="N359" s="24" t="s">
        <v>51</v>
      </c>
      <c r="O359" s="24" t="s">
        <v>269</v>
      </c>
      <c r="P359" s="24" t="s">
        <v>262</v>
      </c>
      <c r="Q359" s="24" t="s">
        <v>288</v>
      </c>
      <c r="R359" s="24" t="s">
        <v>459</v>
      </c>
      <c r="S359" s="24" t="s">
        <v>498</v>
      </c>
      <c r="T359" s="24" t="s">
        <v>462</v>
      </c>
      <c r="U359" s="24" t="s">
        <v>113</v>
      </c>
    </row>
    <row r="360" spans="3:21" ht="21.9" customHeight="1" x14ac:dyDescent="0.3">
      <c r="C360" s="24">
        <v>184</v>
      </c>
      <c r="D360" s="45">
        <v>43966</v>
      </c>
      <c r="E360" s="24">
        <f t="shared" si="5"/>
        <v>5</v>
      </c>
      <c r="F360" s="46">
        <v>540</v>
      </c>
      <c r="G360" s="24" t="s">
        <v>92</v>
      </c>
      <c r="H360" s="24" t="s">
        <v>225</v>
      </c>
      <c r="I360" s="24" t="s">
        <v>207</v>
      </c>
      <c r="J360" s="24" t="s">
        <v>219</v>
      </c>
      <c r="K360" s="24" t="s">
        <v>226</v>
      </c>
      <c r="L360" s="24" t="s">
        <v>186</v>
      </c>
      <c r="M360" s="24">
        <v>2</v>
      </c>
      <c r="N360" s="24" t="s">
        <v>72</v>
      </c>
      <c r="O360" s="24" t="s">
        <v>250</v>
      </c>
      <c r="P360" s="24" t="s">
        <v>253</v>
      </c>
      <c r="Q360" s="24" t="s">
        <v>384</v>
      </c>
      <c r="R360" s="24" t="s">
        <v>55</v>
      </c>
      <c r="S360" s="24" t="s">
        <v>27</v>
      </c>
      <c r="T360" s="24" t="s">
        <v>47</v>
      </c>
      <c r="U360" s="24" t="s">
        <v>113</v>
      </c>
    </row>
    <row r="361" spans="3:21" ht="21.9" customHeight="1" x14ac:dyDescent="0.3">
      <c r="C361" s="24">
        <v>183</v>
      </c>
      <c r="D361" s="45">
        <v>43965</v>
      </c>
      <c r="E361" s="24">
        <f t="shared" si="5"/>
        <v>5</v>
      </c>
      <c r="F361" s="46">
        <v>1500</v>
      </c>
      <c r="G361" s="24" t="s">
        <v>91</v>
      </c>
      <c r="H361" s="24" t="s">
        <v>194</v>
      </c>
      <c r="I361" s="24" t="s">
        <v>209</v>
      </c>
      <c r="J361" s="24" t="s">
        <v>219</v>
      </c>
      <c r="K361" s="24" t="s">
        <v>187</v>
      </c>
      <c r="L361" s="24" t="s">
        <v>186</v>
      </c>
      <c r="M361" s="24">
        <v>3</v>
      </c>
      <c r="N361" s="24" t="s">
        <v>71</v>
      </c>
      <c r="O361" s="24" t="s">
        <v>271</v>
      </c>
      <c r="P361" s="24" t="s">
        <v>286</v>
      </c>
      <c r="Q361" s="24" t="s">
        <v>288</v>
      </c>
      <c r="R361" s="24" t="s">
        <v>59</v>
      </c>
      <c r="S361" s="24" t="s">
        <v>31</v>
      </c>
      <c r="T361" s="24" t="s">
        <v>327</v>
      </c>
      <c r="U361" s="24" t="s">
        <v>114</v>
      </c>
    </row>
    <row r="362" spans="3:21" ht="21.9" customHeight="1" x14ac:dyDescent="0.3">
      <c r="C362" s="24">
        <v>182</v>
      </c>
      <c r="D362" s="45">
        <v>43964</v>
      </c>
      <c r="E362" s="24">
        <f t="shared" si="5"/>
        <v>5</v>
      </c>
      <c r="F362" s="46">
        <v>900</v>
      </c>
      <c r="G362" s="24" t="s">
        <v>90</v>
      </c>
      <c r="H362" s="24" t="s">
        <v>188</v>
      </c>
      <c r="I362" s="24" t="s">
        <v>209</v>
      </c>
      <c r="J362" s="24" t="s">
        <v>220</v>
      </c>
      <c r="K362" s="24" t="s">
        <v>187</v>
      </c>
      <c r="L362" s="24" t="s">
        <v>220</v>
      </c>
      <c r="M362" s="24">
        <v>1</v>
      </c>
      <c r="N362" s="24" t="s">
        <v>75</v>
      </c>
      <c r="O362" s="24" t="s">
        <v>26</v>
      </c>
      <c r="P362" s="24" t="s">
        <v>249</v>
      </c>
      <c r="Q362" s="24" t="s">
        <v>289</v>
      </c>
      <c r="R362" s="24" t="s">
        <v>53</v>
      </c>
      <c r="S362" s="24" t="s">
        <v>25</v>
      </c>
      <c r="T362" s="24" t="s">
        <v>45</v>
      </c>
      <c r="U362" s="24" t="s">
        <v>113</v>
      </c>
    </row>
    <row r="363" spans="3:21" ht="21.9" customHeight="1" x14ac:dyDescent="0.3">
      <c r="C363" s="24">
        <v>181</v>
      </c>
      <c r="D363" s="45">
        <v>43963</v>
      </c>
      <c r="E363" s="24">
        <f t="shared" si="5"/>
        <v>5</v>
      </c>
      <c r="F363" s="46">
        <v>120</v>
      </c>
      <c r="G363" s="24" t="s">
        <v>89</v>
      </c>
      <c r="H363" s="24" t="s">
        <v>195</v>
      </c>
      <c r="I363" s="24" t="s">
        <v>207</v>
      </c>
      <c r="J363" s="24" t="s">
        <v>223</v>
      </c>
      <c r="K363" s="24" t="s">
        <v>226</v>
      </c>
      <c r="L363" s="24" t="s">
        <v>220</v>
      </c>
      <c r="M363" s="24">
        <v>2</v>
      </c>
      <c r="N363" s="24" t="s">
        <v>51</v>
      </c>
      <c r="O363" s="24" t="s">
        <v>269</v>
      </c>
      <c r="P363" s="24" t="s">
        <v>262</v>
      </c>
      <c r="Q363" s="24" t="s">
        <v>288</v>
      </c>
      <c r="R363" s="24" t="s">
        <v>398</v>
      </c>
      <c r="S363" s="24" t="s">
        <v>487</v>
      </c>
      <c r="T363" s="24" t="s">
        <v>401</v>
      </c>
      <c r="U363" s="24" t="s">
        <v>113</v>
      </c>
    </row>
    <row r="364" spans="3:21" ht="21.9" customHeight="1" x14ac:dyDescent="0.3">
      <c r="C364" s="24">
        <v>180</v>
      </c>
      <c r="D364" s="45">
        <v>43962</v>
      </c>
      <c r="E364" s="24">
        <f t="shared" si="5"/>
        <v>5</v>
      </c>
      <c r="F364" s="46">
        <v>140</v>
      </c>
      <c r="G364" s="24" t="s">
        <v>88</v>
      </c>
      <c r="H364" s="24" t="s">
        <v>196</v>
      </c>
      <c r="I364" s="24" t="s">
        <v>208</v>
      </c>
      <c r="J364" s="24" t="s">
        <v>216</v>
      </c>
      <c r="K364" s="24" t="s">
        <v>226</v>
      </c>
      <c r="L364" s="24" t="s">
        <v>230</v>
      </c>
      <c r="M364" s="24">
        <v>2</v>
      </c>
      <c r="N364" s="24" t="s">
        <v>51</v>
      </c>
      <c r="O364" s="24" t="s">
        <v>269</v>
      </c>
      <c r="P364" s="24" t="s">
        <v>262</v>
      </c>
      <c r="Q364" s="24" t="s">
        <v>288</v>
      </c>
      <c r="R364" s="24" t="s">
        <v>62</v>
      </c>
      <c r="S364" s="24" t="s">
        <v>34</v>
      </c>
      <c r="T364" s="24" t="s">
        <v>47</v>
      </c>
      <c r="U364" s="24" t="s">
        <v>115</v>
      </c>
    </row>
    <row r="365" spans="3:21" ht="21.9" customHeight="1" x14ac:dyDescent="0.3">
      <c r="C365" s="24">
        <v>179</v>
      </c>
      <c r="D365" s="45">
        <v>43961</v>
      </c>
      <c r="E365" s="24">
        <f t="shared" si="5"/>
        <v>5</v>
      </c>
      <c r="F365" s="46">
        <v>228</v>
      </c>
      <c r="G365" s="24" t="s">
        <v>87</v>
      </c>
      <c r="H365" s="24" t="s">
        <v>197</v>
      </c>
      <c r="I365" s="24" t="s">
        <v>208</v>
      </c>
      <c r="J365" s="24" t="s">
        <v>222</v>
      </c>
      <c r="K365" s="24" t="s">
        <v>226</v>
      </c>
      <c r="L365" s="24" t="s">
        <v>230</v>
      </c>
      <c r="M365" s="24">
        <v>3</v>
      </c>
      <c r="N365" s="24" t="s">
        <v>75</v>
      </c>
      <c r="O365" s="24" t="s">
        <v>26</v>
      </c>
      <c r="P365" s="24" t="s">
        <v>249</v>
      </c>
      <c r="Q365" s="24" t="s">
        <v>289</v>
      </c>
      <c r="R365" s="24" t="s">
        <v>442</v>
      </c>
      <c r="S365" s="24" t="s">
        <v>495</v>
      </c>
      <c r="T365" s="24" t="s">
        <v>445</v>
      </c>
      <c r="U365" s="24" t="s">
        <v>113</v>
      </c>
    </row>
    <row r="366" spans="3:21" ht="21.9" customHeight="1" x14ac:dyDescent="0.3">
      <c r="C366" s="24">
        <v>178</v>
      </c>
      <c r="D366" s="45">
        <v>43960</v>
      </c>
      <c r="E366" s="24">
        <f t="shared" si="5"/>
        <v>5</v>
      </c>
      <c r="F366" s="46">
        <v>600</v>
      </c>
      <c r="G366" s="24" t="s">
        <v>86</v>
      </c>
      <c r="H366" s="24" t="s">
        <v>198</v>
      </c>
      <c r="I366" s="24" t="s">
        <v>207</v>
      </c>
      <c r="J366" s="24" t="s">
        <v>224</v>
      </c>
      <c r="K366" s="24" t="s">
        <v>228</v>
      </c>
      <c r="L366" s="24" t="s">
        <v>230</v>
      </c>
      <c r="M366" s="24">
        <v>1</v>
      </c>
      <c r="N366" s="24" t="s">
        <v>74</v>
      </c>
      <c r="O366" s="24" t="s">
        <v>270</v>
      </c>
      <c r="P366" s="24" t="s">
        <v>260</v>
      </c>
      <c r="Q366" s="24" t="s">
        <v>288</v>
      </c>
      <c r="R366" s="24" t="s">
        <v>398</v>
      </c>
      <c r="S366" s="24" t="s">
        <v>487</v>
      </c>
      <c r="T366" s="24" t="s">
        <v>401</v>
      </c>
      <c r="U366" s="24" t="s">
        <v>113</v>
      </c>
    </row>
    <row r="367" spans="3:21" ht="21.9" customHeight="1" x14ac:dyDescent="0.3">
      <c r="C367" s="24">
        <v>177</v>
      </c>
      <c r="D367" s="45">
        <v>43959</v>
      </c>
      <c r="E367" s="24">
        <f t="shared" si="5"/>
        <v>5</v>
      </c>
      <c r="F367" s="46">
        <v>340</v>
      </c>
      <c r="G367" s="24" t="s">
        <v>85</v>
      </c>
      <c r="H367" s="24" t="s">
        <v>199</v>
      </c>
      <c r="I367" s="24" t="s">
        <v>209</v>
      </c>
      <c r="J367" s="24" t="s">
        <v>216</v>
      </c>
      <c r="K367" s="24" t="s">
        <v>228</v>
      </c>
      <c r="L367" s="24" t="s">
        <v>221</v>
      </c>
      <c r="M367" s="24">
        <v>2</v>
      </c>
      <c r="N367" s="24" t="s">
        <v>380</v>
      </c>
      <c r="O367" s="24" t="s">
        <v>381</v>
      </c>
      <c r="P367" s="24" t="s">
        <v>46</v>
      </c>
      <c r="Q367" s="24" t="s">
        <v>384</v>
      </c>
      <c r="R367" s="24" t="s">
        <v>65</v>
      </c>
      <c r="S367" s="24" t="s">
        <v>37</v>
      </c>
      <c r="T367" s="24" t="s">
        <v>48</v>
      </c>
      <c r="U367" s="24" t="s">
        <v>113</v>
      </c>
    </row>
    <row r="368" spans="3:21" ht="21.9" customHeight="1" x14ac:dyDescent="0.3">
      <c r="C368" s="24">
        <v>176</v>
      </c>
      <c r="D368" s="45">
        <v>43958</v>
      </c>
      <c r="E368" s="24">
        <f t="shared" si="5"/>
        <v>5</v>
      </c>
      <c r="F368" s="46">
        <v>400</v>
      </c>
      <c r="G368" s="24" t="s">
        <v>84</v>
      </c>
      <c r="H368" s="24" t="s">
        <v>200</v>
      </c>
      <c r="I368" s="24" t="s">
        <v>208</v>
      </c>
      <c r="J368" s="24" t="s">
        <v>222</v>
      </c>
      <c r="K368" s="24" t="s">
        <v>228</v>
      </c>
      <c r="L368" s="24" t="s">
        <v>220</v>
      </c>
      <c r="M368" s="24">
        <v>1</v>
      </c>
      <c r="N368" s="24" t="s">
        <v>71</v>
      </c>
      <c r="O368" s="24" t="s">
        <v>271</v>
      </c>
      <c r="P368" s="24" t="s">
        <v>286</v>
      </c>
      <c r="Q368" s="24" t="s">
        <v>288</v>
      </c>
      <c r="R368" s="24" t="s">
        <v>66</v>
      </c>
      <c r="S368" s="24" t="s">
        <v>38</v>
      </c>
      <c r="T368" s="24" t="s">
        <v>46</v>
      </c>
      <c r="U368" s="24" t="s">
        <v>115</v>
      </c>
    </row>
    <row r="369" spans="3:21" ht="21.9" customHeight="1" x14ac:dyDescent="0.3">
      <c r="C369" s="24">
        <v>175</v>
      </c>
      <c r="D369" s="45">
        <v>43957</v>
      </c>
      <c r="E369" s="24">
        <f t="shared" si="5"/>
        <v>5</v>
      </c>
      <c r="F369" s="46">
        <v>800</v>
      </c>
      <c r="G369" s="24" t="s">
        <v>83</v>
      </c>
      <c r="H369" s="24" t="s">
        <v>201</v>
      </c>
      <c r="I369" s="24" t="s">
        <v>208</v>
      </c>
      <c r="J369" s="24" t="s">
        <v>222</v>
      </c>
      <c r="K369" s="24" t="s">
        <v>226</v>
      </c>
      <c r="L369" s="24" t="s">
        <v>230</v>
      </c>
      <c r="M369" s="24">
        <v>1</v>
      </c>
      <c r="N369" s="24" t="s">
        <v>380</v>
      </c>
      <c r="O369" s="24" t="s">
        <v>381</v>
      </c>
      <c r="P369" s="24" t="s">
        <v>46</v>
      </c>
      <c r="Q369" s="24" t="s">
        <v>384</v>
      </c>
      <c r="R369" s="24" t="s">
        <v>63</v>
      </c>
      <c r="S369" s="24" t="s">
        <v>35</v>
      </c>
      <c r="T369" s="24" t="s">
        <v>45</v>
      </c>
      <c r="U369" s="24" t="s">
        <v>113</v>
      </c>
    </row>
    <row r="370" spans="3:21" ht="21.9" customHeight="1" x14ac:dyDescent="0.3">
      <c r="C370" s="24">
        <v>174</v>
      </c>
      <c r="D370" s="45">
        <v>43956</v>
      </c>
      <c r="E370" s="24">
        <f t="shared" si="5"/>
        <v>5</v>
      </c>
      <c r="F370" s="46">
        <v>400</v>
      </c>
      <c r="G370" s="24" t="s">
        <v>82</v>
      </c>
      <c r="H370" s="24" t="s">
        <v>202</v>
      </c>
      <c r="I370" s="24" t="s">
        <v>207</v>
      </c>
      <c r="J370" s="24" t="s">
        <v>222</v>
      </c>
      <c r="K370" s="24" t="s">
        <v>226</v>
      </c>
      <c r="L370" s="24" t="s">
        <v>230</v>
      </c>
      <c r="M370" s="24">
        <v>1</v>
      </c>
      <c r="N370" s="24" t="s">
        <v>51</v>
      </c>
      <c r="O370" s="24" t="s">
        <v>269</v>
      </c>
      <c r="P370" s="24" t="s">
        <v>262</v>
      </c>
      <c r="Q370" s="24" t="s">
        <v>288</v>
      </c>
      <c r="R370" s="24" t="s">
        <v>346</v>
      </c>
      <c r="S370" s="24" t="s">
        <v>333</v>
      </c>
      <c r="T370" s="24" t="s">
        <v>47</v>
      </c>
      <c r="U370" s="24" t="s">
        <v>114</v>
      </c>
    </row>
    <row r="371" spans="3:21" ht="21.9" customHeight="1" x14ac:dyDescent="0.3">
      <c r="C371" s="24">
        <v>173</v>
      </c>
      <c r="D371" s="45">
        <v>43955</v>
      </c>
      <c r="E371" s="24">
        <f t="shared" si="5"/>
        <v>5</v>
      </c>
      <c r="F371" s="46">
        <v>500</v>
      </c>
      <c r="G371" s="24" t="s">
        <v>81</v>
      </c>
      <c r="H371" s="24" t="s">
        <v>203</v>
      </c>
      <c r="I371" s="24" t="s">
        <v>207</v>
      </c>
      <c r="J371" s="24" t="s">
        <v>223</v>
      </c>
      <c r="K371" s="24" t="s">
        <v>226</v>
      </c>
      <c r="L371" s="24" t="s">
        <v>230</v>
      </c>
      <c r="M371" s="24">
        <v>2</v>
      </c>
      <c r="N371" s="24" t="s">
        <v>76</v>
      </c>
      <c r="O371" s="24" t="s">
        <v>272</v>
      </c>
      <c r="P371" s="24" t="s">
        <v>245</v>
      </c>
      <c r="Q371" s="24" t="s">
        <v>288</v>
      </c>
      <c r="R371" s="24" t="s">
        <v>52</v>
      </c>
      <c r="S371" s="24" t="s">
        <v>24</v>
      </c>
      <c r="T371" s="24" t="s">
        <v>44</v>
      </c>
      <c r="U371" s="24" t="s">
        <v>113</v>
      </c>
    </row>
    <row r="372" spans="3:21" ht="21.9" customHeight="1" x14ac:dyDescent="0.3">
      <c r="C372" s="24">
        <v>172</v>
      </c>
      <c r="D372" s="45">
        <v>43954</v>
      </c>
      <c r="E372" s="24">
        <f t="shared" si="5"/>
        <v>5</v>
      </c>
      <c r="F372" s="46">
        <v>120</v>
      </c>
      <c r="G372" s="24" t="s">
        <v>80</v>
      </c>
      <c r="H372" s="24" t="s">
        <v>204</v>
      </c>
      <c r="I372" s="24" t="s">
        <v>207</v>
      </c>
      <c r="J372" s="24" t="s">
        <v>221</v>
      </c>
      <c r="K372" s="24" t="s">
        <v>229</v>
      </c>
      <c r="L372" s="24" t="s">
        <v>221</v>
      </c>
      <c r="M372" s="24">
        <v>3</v>
      </c>
      <c r="N372" s="24" t="s">
        <v>73</v>
      </c>
      <c r="O372" s="24" t="s">
        <v>268</v>
      </c>
      <c r="P372" s="24" t="s">
        <v>262</v>
      </c>
      <c r="Q372" s="24" t="s">
        <v>288</v>
      </c>
      <c r="R372" s="24" t="s">
        <v>442</v>
      </c>
      <c r="S372" s="24" t="s">
        <v>495</v>
      </c>
      <c r="T372" s="24" t="s">
        <v>445</v>
      </c>
      <c r="U372" s="24" t="s">
        <v>113</v>
      </c>
    </row>
    <row r="373" spans="3:21" ht="21.9" customHeight="1" x14ac:dyDescent="0.3">
      <c r="C373" s="24">
        <v>171</v>
      </c>
      <c r="D373" s="45">
        <v>43953</v>
      </c>
      <c r="E373" s="24">
        <f t="shared" si="5"/>
        <v>5</v>
      </c>
      <c r="F373" s="46">
        <v>105</v>
      </c>
      <c r="G373" s="24" t="s">
        <v>79</v>
      </c>
      <c r="H373" s="24" t="s">
        <v>205</v>
      </c>
      <c r="I373" s="24" t="s">
        <v>207</v>
      </c>
      <c r="J373" s="24" t="s">
        <v>221</v>
      </c>
      <c r="K373" s="24" t="s">
        <v>229</v>
      </c>
      <c r="L373" s="24" t="s">
        <v>221</v>
      </c>
      <c r="M373" s="24">
        <v>3</v>
      </c>
      <c r="N373" s="24" t="s">
        <v>73</v>
      </c>
      <c r="O373" s="24" t="s">
        <v>268</v>
      </c>
      <c r="P373" s="24" t="s">
        <v>262</v>
      </c>
      <c r="Q373" s="24" t="s">
        <v>288</v>
      </c>
      <c r="R373" s="24" t="s">
        <v>398</v>
      </c>
      <c r="S373" s="24" t="s">
        <v>487</v>
      </c>
      <c r="T373" s="24" t="s">
        <v>401</v>
      </c>
      <c r="U373" s="24" t="s">
        <v>113</v>
      </c>
    </row>
    <row r="374" spans="3:21" ht="21.9" customHeight="1" x14ac:dyDescent="0.3">
      <c r="C374" s="24">
        <v>170</v>
      </c>
      <c r="D374" s="45">
        <v>43952</v>
      </c>
      <c r="E374" s="24">
        <f t="shared" si="5"/>
        <v>5</v>
      </c>
      <c r="F374" s="46">
        <v>30</v>
      </c>
      <c r="G374" s="24" t="s">
        <v>78</v>
      </c>
      <c r="H374" s="24" t="s">
        <v>206</v>
      </c>
      <c r="I374" s="24" t="s">
        <v>207</v>
      </c>
      <c r="J374" s="24" t="s">
        <v>221</v>
      </c>
      <c r="K374" s="24" t="s">
        <v>229</v>
      </c>
      <c r="L374" s="24" t="s">
        <v>221</v>
      </c>
      <c r="M374" s="24">
        <v>1</v>
      </c>
      <c r="N374" s="24" t="s">
        <v>71</v>
      </c>
      <c r="O374" s="24" t="s">
        <v>271</v>
      </c>
      <c r="P374" s="24" t="s">
        <v>286</v>
      </c>
      <c r="Q374" s="24" t="s">
        <v>288</v>
      </c>
      <c r="R374" s="24" t="s">
        <v>342</v>
      </c>
      <c r="S374" s="24" t="s">
        <v>323</v>
      </c>
      <c r="T374" s="24" t="s">
        <v>46</v>
      </c>
      <c r="U374" s="24" t="s">
        <v>115</v>
      </c>
    </row>
    <row r="375" spans="3:21" ht="21.9" customHeight="1" x14ac:dyDescent="0.3">
      <c r="C375" s="24">
        <v>169</v>
      </c>
      <c r="D375" s="45">
        <v>43928</v>
      </c>
      <c r="E375" s="24">
        <f t="shared" si="5"/>
        <v>4</v>
      </c>
      <c r="F375" s="46">
        <v>105</v>
      </c>
      <c r="G375" s="24" t="s">
        <v>79</v>
      </c>
      <c r="H375" s="24" t="s">
        <v>205</v>
      </c>
      <c r="I375" s="24" t="s">
        <v>207</v>
      </c>
      <c r="J375" s="24" t="s">
        <v>221</v>
      </c>
      <c r="K375" s="24" t="s">
        <v>229</v>
      </c>
      <c r="L375" s="24" t="s">
        <v>221</v>
      </c>
      <c r="M375" s="24">
        <v>3</v>
      </c>
      <c r="N375" s="24" t="s">
        <v>72</v>
      </c>
      <c r="O375" s="24" t="s">
        <v>250</v>
      </c>
      <c r="P375" s="24" t="s">
        <v>253</v>
      </c>
      <c r="Q375" s="24" t="s">
        <v>384</v>
      </c>
      <c r="R375" s="24" t="s">
        <v>56</v>
      </c>
      <c r="S375" s="24" t="s">
        <v>28</v>
      </c>
      <c r="T375" s="24" t="s">
        <v>48</v>
      </c>
      <c r="U375" s="24" t="s">
        <v>115</v>
      </c>
    </row>
    <row r="376" spans="3:21" ht="21.9" customHeight="1" x14ac:dyDescent="0.3">
      <c r="C376" s="24">
        <v>168</v>
      </c>
      <c r="D376" s="45">
        <v>43927</v>
      </c>
      <c r="E376" s="24">
        <f t="shared" si="5"/>
        <v>4</v>
      </c>
      <c r="F376" s="46">
        <v>90</v>
      </c>
      <c r="G376" s="24" t="s">
        <v>78</v>
      </c>
      <c r="H376" s="24" t="s">
        <v>206</v>
      </c>
      <c r="I376" s="24" t="s">
        <v>207</v>
      </c>
      <c r="J376" s="24" t="s">
        <v>221</v>
      </c>
      <c r="K376" s="24" t="s">
        <v>229</v>
      </c>
      <c r="L376" s="24" t="s">
        <v>221</v>
      </c>
      <c r="M376" s="24">
        <v>3</v>
      </c>
      <c r="N376" s="24" t="s">
        <v>74</v>
      </c>
      <c r="O376" s="24" t="s">
        <v>270</v>
      </c>
      <c r="P376" s="24" t="s">
        <v>260</v>
      </c>
      <c r="Q376" s="24" t="s">
        <v>288</v>
      </c>
      <c r="R376" s="24" t="s">
        <v>61</v>
      </c>
      <c r="S376" s="24" t="s">
        <v>33</v>
      </c>
      <c r="T376" s="24" t="s">
        <v>47</v>
      </c>
      <c r="U376" s="24" t="s">
        <v>113</v>
      </c>
    </row>
    <row r="377" spans="3:21" ht="21.9" customHeight="1" x14ac:dyDescent="0.3">
      <c r="C377" s="24">
        <v>167</v>
      </c>
      <c r="D377" s="45">
        <v>43926</v>
      </c>
      <c r="E377" s="24">
        <f t="shared" si="5"/>
        <v>4</v>
      </c>
      <c r="F377" s="46">
        <v>1600</v>
      </c>
      <c r="G377" s="24" t="s">
        <v>121</v>
      </c>
      <c r="H377" s="24" t="s">
        <v>183</v>
      </c>
      <c r="I377" s="24" t="s">
        <v>207</v>
      </c>
      <c r="J377" s="24" t="s">
        <v>210</v>
      </c>
      <c r="K377" s="24" t="s">
        <v>184</v>
      </c>
      <c r="L377" s="24" t="s">
        <v>230</v>
      </c>
      <c r="M377" s="24">
        <v>1</v>
      </c>
      <c r="N377" s="24" t="s">
        <v>76</v>
      </c>
      <c r="O377" s="24" t="s">
        <v>272</v>
      </c>
      <c r="P377" s="24" t="s">
        <v>245</v>
      </c>
      <c r="Q377" s="24" t="s">
        <v>288</v>
      </c>
      <c r="R377" s="24" t="s">
        <v>431</v>
      </c>
      <c r="S377" s="24" t="s">
        <v>493</v>
      </c>
      <c r="T377" s="24" t="s">
        <v>434</v>
      </c>
      <c r="U377" s="24" t="s">
        <v>113</v>
      </c>
    </row>
    <row r="378" spans="3:21" ht="21.9" customHeight="1" x14ac:dyDescent="0.3">
      <c r="C378" s="24">
        <v>166</v>
      </c>
      <c r="D378" s="45">
        <v>43925</v>
      </c>
      <c r="E378" s="24">
        <f t="shared" si="5"/>
        <v>4</v>
      </c>
      <c r="F378" s="46">
        <v>8400</v>
      </c>
      <c r="G378" s="24" t="s">
        <v>120</v>
      </c>
      <c r="H378" s="24" t="s">
        <v>185</v>
      </c>
      <c r="I378" s="24" t="s">
        <v>207</v>
      </c>
      <c r="J378" s="24" t="s">
        <v>210</v>
      </c>
      <c r="K378" s="24" t="s">
        <v>184</v>
      </c>
      <c r="L378" s="24" t="s">
        <v>230</v>
      </c>
      <c r="M378" s="24">
        <v>3</v>
      </c>
      <c r="N378" s="24" t="s">
        <v>72</v>
      </c>
      <c r="O378" s="24" t="s">
        <v>250</v>
      </c>
      <c r="P378" s="24" t="s">
        <v>253</v>
      </c>
      <c r="Q378" s="24" t="s">
        <v>384</v>
      </c>
      <c r="R378" s="24" t="s">
        <v>393</v>
      </c>
      <c r="S378" s="24" t="s">
        <v>486</v>
      </c>
      <c r="T378" s="24" t="s">
        <v>395</v>
      </c>
      <c r="U378" s="24" t="s">
        <v>113</v>
      </c>
    </row>
    <row r="379" spans="3:21" ht="21.9" customHeight="1" x14ac:dyDescent="0.3">
      <c r="C379" s="24">
        <v>165</v>
      </c>
      <c r="D379" s="45">
        <v>43924</v>
      </c>
      <c r="E379" s="24">
        <f t="shared" si="5"/>
        <v>4</v>
      </c>
      <c r="F379" s="46">
        <v>240</v>
      </c>
      <c r="G379" s="24" t="s">
        <v>97</v>
      </c>
      <c r="H379" s="24" t="s">
        <v>189</v>
      </c>
      <c r="I379" s="24" t="s">
        <v>207</v>
      </c>
      <c r="J379" s="24" t="s">
        <v>211</v>
      </c>
      <c r="K379" s="24" t="s">
        <v>227</v>
      </c>
      <c r="L379" s="24" t="s">
        <v>186</v>
      </c>
      <c r="M379" s="24">
        <v>3</v>
      </c>
      <c r="N379" s="24" t="s">
        <v>380</v>
      </c>
      <c r="O379" s="24" t="s">
        <v>381</v>
      </c>
      <c r="P379" s="24" t="s">
        <v>46</v>
      </c>
      <c r="Q379" s="24" t="s">
        <v>384</v>
      </c>
      <c r="R379" s="24" t="s">
        <v>290</v>
      </c>
      <c r="S379" s="24" t="s">
        <v>296</v>
      </c>
      <c r="T379" s="24" t="s">
        <v>45</v>
      </c>
      <c r="U379" s="24" t="s">
        <v>113</v>
      </c>
    </row>
    <row r="380" spans="3:21" ht="21.9" customHeight="1" x14ac:dyDescent="0.3">
      <c r="C380" s="24">
        <v>164</v>
      </c>
      <c r="D380" s="45">
        <v>43923</v>
      </c>
      <c r="E380" s="24">
        <f t="shared" si="5"/>
        <v>4</v>
      </c>
      <c r="F380" s="46">
        <v>60</v>
      </c>
      <c r="G380" s="24" t="s">
        <v>96</v>
      </c>
      <c r="H380" s="24" t="s">
        <v>190</v>
      </c>
      <c r="I380" s="24" t="s">
        <v>208</v>
      </c>
      <c r="J380" s="24" t="s">
        <v>212</v>
      </c>
      <c r="K380" s="24" t="s">
        <v>227</v>
      </c>
      <c r="L380" s="24" t="s">
        <v>223</v>
      </c>
      <c r="M380" s="24">
        <v>1</v>
      </c>
      <c r="N380" s="24" t="s">
        <v>73</v>
      </c>
      <c r="O380" s="24" t="s">
        <v>268</v>
      </c>
      <c r="P380" s="24" t="s">
        <v>262</v>
      </c>
      <c r="Q380" s="24" t="s">
        <v>288</v>
      </c>
      <c r="R380" s="24" t="s">
        <v>476</v>
      </c>
      <c r="S380" s="24" t="s">
        <v>477</v>
      </c>
      <c r="T380" s="24" t="s">
        <v>253</v>
      </c>
      <c r="U380" s="24" t="s">
        <v>113</v>
      </c>
    </row>
    <row r="381" spans="3:21" ht="21.9" customHeight="1" x14ac:dyDescent="0.3">
      <c r="C381" s="24">
        <v>163</v>
      </c>
      <c r="D381" s="45">
        <v>43922</v>
      </c>
      <c r="E381" s="24">
        <f t="shared" si="5"/>
        <v>4</v>
      </c>
      <c r="F381" s="46">
        <v>300</v>
      </c>
      <c r="G381" s="24" t="s">
        <v>95</v>
      </c>
      <c r="H381" s="24" t="s">
        <v>191</v>
      </c>
      <c r="I381" s="24" t="s">
        <v>207</v>
      </c>
      <c r="J381" s="24" t="s">
        <v>222</v>
      </c>
      <c r="K381" s="24" t="s">
        <v>226</v>
      </c>
      <c r="L381" s="24" t="s">
        <v>231</v>
      </c>
      <c r="M381" s="24">
        <v>3</v>
      </c>
      <c r="N381" s="24" t="s">
        <v>380</v>
      </c>
      <c r="O381" s="24" t="s">
        <v>381</v>
      </c>
      <c r="P381" s="24" t="s">
        <v>46</v>
      </c>
      <c r="Q381" s="24" t="s">
        <v>384</v>
      </c>
      <c r="R381" s="24" t="s">
        <v>52</v>
      </c>
      <c r="S381" s="24" t="s">
        <v>24</v>
      </c>
      <c r="T381" s="24" t="s">
        <v>44</v>
      </c>
      <c r="U381" s="24" t="s">
        <v>113</v>
      </c>
    </row>
    <row r="382" spans="3:21" ht="21.9" customHeight="1" x14ac:dyDescent="0.3">
      <c r="C382" s="24">
        <v>162</v>
      </c>
      <c r="D382" s="45">
        <v>43948</v>
      </c>
      <c r="E382" s="24">
        <f t="shared" si="5"/>
        <v>4</v>
      </c>
      <c r="F382" s="46">
        <v>900</v>
      </c>
      <c r="G382" s="24" t="s">
        <v>94</v>
      </c>
      <c r="H382" s="24" t="s">
        <v>192</v>
      </c>
      <c r="I382" s="24" t="s">
        <v>207</v>
      </c>
      <c r="J382" s="24" t="s">
        <v>216</v>
      </c>
      <c r="K382" s="24" t="s">
        <v>187</v>
      </c>
      <c r="L382" s="24" t="s">
        <v>232</v>
      </c>
      <c r="M382" s="24">
        <v>3</v>
      </c>
      <c r="N382" s="24" t="s">
        <v>75</v>
      </c>
      <c r="O382" s="24" t="s">
        <v>26</v>
      </c>
      <c r="P382" s="24" t="s">
        <v>249</v>
      </c>
      <c r="Q382" s="24" t="s">
        <v>289</v>
      </c>
      <c r="R382" s="24" t="s">
        <v>393</v>
      </c>
      <c r="S382" s="24" t="s">
        <v>486</v>
      </c>
      <c r="T382" s="24" t="s">
        <v>395</v>
      </c>
      <c r="U382" s="24" t="s">
        <v>113</v>
      </c>
    </row>
    <row r="383" spans="3:21" ht="21.9" customHeight="1" x14ac:dyDescent="0.3">
      <c r="C383" s="24">
        <v>161</v>
      </c>
      <c r="D383" s="45">
        <v>43947</v>
      </c>
      <c r="E383" s="24">
        <f t="shared" si="5"/>
        <v>4</v>
      </c>
      <c r="F383" s="46">
        <v>1050</v>
      </c>
      <c r="G383" s="24" t="s">
        <v>93</v>
      </c>
      <c r="H383" s="24" t="s">
        <v>193</v>
      </c>
      <c r="I383" s="24" t="s">
        <v>208</v>
      </c>
      <c r="J383" s="24" t="s">
        <v>218</v>
      </c>
      <c r="K383" s="24" t="s">
        <v>187</v>
      </c>
      <c r="L383" s="24" t="s">
        <v>186</v>
      </c>
      <c r="M383" s="24">
        <v>3</v>
      </c>
      <c r="N383" s="24" t="s">
        <v>72</v>
      </c>
      <c r="O383" s="24" t="s">
        <v>250</v>
      </c>
      <c r="P383" s="24" t="s">
        <v>253</v>
      </c>
      <c r="Q383" s="24" t="s">
        <v>384</v>
      </c>
      <c r="R383" s="24" t="s">
        <v>419</v>
      </c>
      <c r="S383" s="24" t="s">
        <v>491</v>
      </c>
      <c r="T383" s="24" t="s">
        <v>422</v>
      </c>
      <c r="U383" s="24" t="s">
        <v>113</v>
      </c>
    </row>
    <row r="384" spans="3:21" ht="21.9" customHeight="1" x14ac:dyDescent="0.3">
      <c r="C384" s="24">
        <v>160</v>
      </c>
      <c r="D384" s="45">
        <v>43946</v>
      </c>
      <c r="E384" s="24">
        <f t="shared" si="5"/>
        <v>4</v>
      </c>
      <c r="F384" s="46">
        <v>270</v>
      </c>
      <c r="G384" s="24" t="s">
        <v>92</v>
      </c>
      <c r="H384" s="24" t="s">
        <v>225</v>
      </c>
      <c r="I384" s="24" t="s">
        <v>207</v>
      </c>
      <c r="J384" s="24" t="s">
        <v>219</v>
      </c>
      <c r="K384" s="24" t="s">
        <v>226</v>
      </c>
      <c r="L384" s="24" t="s">
        <v>186</v>
      </c>
      <c r="M384" s="24">
        <v>1</v>
      </c>
      <c r="N384" s="24" t="s">
        <v>51</v>
      </c>
      <c r="O384" s="24" t="s">
        <v>269</v>
      </c>
      <c r="P384" s="24" t="s">
        <v>262</v>
      </c>
      <c r="Q384" s="24" t="s">
        <v>288</v>
      </c>
      <c r="R384" s="24" t="s">
        <v>454</v>
      </c>
      <c r="S384" s="24" t="s">
        <v>497</v>
      </c>
      <c r="T384" s="24" t="s">
        <v>253</v>
      </c>
      <c r="U384" s="24" t="s">
        <v>113</v>
      </c>
    </row>
    <row r="385" spans="3:21" ht="21.9" customHeight="1" x14ac:dyDescent="0.3">
      <c r="C385" s="24">
        <v>159</v>
      </c>
      <c r="D385" s="45">
        <v>43945</v>
      </c>
      <c r="E385" s="24">
        <f t="shared" si="5"/>
        <v>4</v>
      </c>
      <c r="F385" s="46">
        <v>1500</v>
      </c>
      <c r="G385" s="24" t="s">
        <v>91</v>
      </c>
      <c r="H385" s="24" t="s">
        <v>194</v>
      </c>
      <c r="I385" s="24" t="s">
        <v>209</v>
      </c>
      <c r="J385" s="24" t="s">
        <v>219</v>
      </c>
      <c r="K385" s="24" t="s">
        <v>187</v>
      </c>
      <c r="L385" s="24" t="s">
        <v>186</v>
      </c>
      <c r="M385" s="24">
        <v>3</v>
      </c>
      <c r="N385" s="24" t="s">
        <v>380</v>
      </c>
      <c r="O385" s="24" t="s">
        <v>381</v>
      </c>
      <c r="P385" s="24" t="s">
        <v>46</v>
      </c>
      <c r="Q385" s="24" t="s">
        <v>384</v>
      </c>
      <c r="R385" s="24" t="s">
        <v>398</v>
      </c>
      <c r="S385" s="24" t="s">
        <v>487</v>
      </c>
      <c r="T385" s="24" t="s">
        <v>401</v>
      </c>
      <c r="U385" s="24" t="s">
        <v>113</v>
      </c>
    </row>
    <row r="386" spans="3:21" ht="21.9" customHeight="1" x14ac:dyDescent="0.3">
      <c r="C386" s="24">
        <v>158</v>
      </c>
      <c r="D386" s="45">
        <v>43944</v>
      </c>
      <c r="E386" s="24">
        <f t="shared" si="5"/>
        <v>4</v>
      </c>
      <c r="F386" s="46">
        <v>900</v>
      </c>
      <c r="G386" s="24" t="s">
        <v>90</v>
      </c>
      <c r="H386" s="24" t="s">
        <v>188</v>
      </c>
      <c r="I386" s="24" t="s">
        <v>209</v>
      </c>
      <c r="J386" s="24" t="s">
        <v>220</v>
      </c>
      <c r="K386" s="24" t="s">
        <v>187</v>
      </c>
      <c r="L386" s="24" t="s">
        <v>220</v>
      </c>
      <c r="M386" s="24">
        <v>1</v>
      </c>
      <c r="N386" s="24" t="s">
        <v>72</v>
      </c>
      <c r="O386" s="24" t="s">
        <v>250</v>
      </c>
      <c r="P386" s="24" t="s">
        <v>253</v>
      </c>
      <c r="Q386" s="24" t="s">
        <v>384</v>
      </c>
      <c r="R386" s="24" t="s">
        <v>465</v>
      </c>
      <c r="S386" s="24" t="s">
        <v>499</v>
      </c>
      <c r="T386" s="24" t="s">
        <v>249</v>
      </c>
      <c r="U386" s="24" t="s">
        <v>113</v>
      </c>
    </row>
    <row r="387" spans="3:21" ht="21.9" customHeight="1" x14ac:dyDescent="0.3">
      <c r="C387" s="24">
        <v>157</v>
      </c>
      <c r="D387" s="45">
        <v>43943</v>
      </c>
      <c r="E387" s="24">
        <f t="shared" si="5"/>
        <v>4</v>
      </c>
      <c r="F387" s="46">
        <v>180</v>
      </c>
      <c r="G387" s="24" t="s">
        <v>89</v>
      </c>
      <c r="H387" s="24" t="s">
        <v>195</v>
      </c>
      <c r="I387" s="24" t="s">
        <v>207</v>
      </c>
      <c r="J387" s="24" t="s">
        <v>223</v>
      </c>
      <c r="K387" s="24" t="s">
        <v>226</v>
      </c>
      <c r="L387" s="24" t="s">
        <v>220</v>
      </c>
      <c r="M387" s="24">
        <v>3</v>
      </c>
      <c r="N387" s="24" t="s">
        <v>73</v>
      </c>
      <c r="O387" s="24" t="s">
        <v>268</v>
      </c>
      <c r="P387" s="24" t="s">
        <v>262</v>
      </c>
      <c r="Q387" s="24" t="s">
        <v>288</v>
      </c>
      <c r="R387" s="24" t="s">
        <v>66</v>
      </c>
      <c r="S387" s="24" t="s">
        <v>38</v>
      </c>
      <c r="T387" s="24" t="s">
        <v>46</v>
      </c>
      <c r="U387" s="24" t="s">
        <v>115</v>
      </c>
    </row>
    <row r="388" spans="3:21" ht="21.9" customHeight="1" x14ac:dyDescent="0.3">
      <c r="C388" s="24">
        <v>156</v>
      </c>
      <c r="D388" s="45">
        <v>43942</v>
      </c>
      <c r="E388" s="24">
        <f t="shared" si="5"/>
        <v>4</v>
      </c>
      <c r="F388" s="46">
        <v>140</v>
      </c>
      <c r="G388" s="24" t="s">
        <v>88</v>
      </c>
      <c r="H388" s="24" t="s">
        <v>196</v>
      </c>
      <c r="I388" s="24" t="s">
        <v>208</v>
      </c>
      <c r="J388" s="24" t="s">
        <v>216</v>
      </c>
      <c r="K388" s="24" t="s">
        <v>226</v>
      </c>
      <c r="L388" s="24" t="s">
        <v>230</v>
      </c>
      <c r="M388" s="24">
        <v>2</v>
      </c>
      <c r="N388" s="24" t="s">
        <v>76</v>
      </c>
      <c r="O388" s="24" t="s">
        <v>272</v>
      </c>
      <c r="P388" s="24" t="s">
        <v>245</v>
      </c>
      <c r="Q388" s="24" t="s">
        <v>288</v>
      </c>
      <c r="R388" s="24" t="s">
        <v>50</v>
      </c>
      <c r="S388" s="24" t="s">
        <v>291</v>
      </c>
      <c r="T388" s="24" t="s">
        <v>46</v>
      </c>
      <c r="U388" s="24" t="s">
        <v>294</v>
      </c>
    </row>
    <row r="389" spans="3:21" ht="21.9" customHeight="1" x14ac:dyDescent="0.3">
      <c r="C389" s="24">
        <v>155</v>
      </c>
      <c r="D389" s="45">
        <v>43941</v>
      </c>
      <c r="E389" s="24">
        <f t="shared" si="5"/>
        <v>4</v>
      </c>
      <c r="F389" s="46">
        <v>76</v>
      </c>
      <c r="G389" s="24" t="s">
        <v>87</v>
      </c>
      <c r="H389" s="24" t="s">
        <v>197</v>
      </c>
      <c r="I389" s="24" t="s">
        <v>208</v>
      </c>
      <c r="J389" s="24" t="s">
        <v>222</v>
      </c>
      <c r="K389" s="24" t="s">
        <v>226</v>
      </c>
      <c r="L389" s="24" t="s">
        <v>230</v>
      </c>
      <c r="M389" s="24">
        <v>1</v>
      </c>
      <c r="N389" s="24" t="s">
        <v>71</v>
      </c>
      <c r="O389" s="24" t="s">
        <v>271</v>
      </c>
      <c r="P389" s="24" t="s">
        <v>286</v>
      </c>
      <c r="Q389" s="24" t="s">
        <v>288</v>
      </c>
      <c r="R389" s="24" t="s">
        <v>465</v>
      </c>
      <c r="S389" s="24" t="s">
        <v>499</v>
      </c>
      <c r="T389" s="24" t="s">
        <v>249</v>
      </c>
      <c r="U389" s="24" t="s">
        <v>113</v>
      </c>
    </row>
    <row r="390" spans="3:21" ht="21.9" customHeight="1" x14ac:dyDescent="0.3">
      <c r="C390" s="24">
        <v>154</v>
      </c>
      <c r="D390" s="45">
        <v>43940</v>
      </c>
      <c r="E390" s="24">
        <f t="shared" si="5"/>
        <v>4</v>
      </c>
      <c r="F390" s="46">
        <v>1200</v>
      </c>
      <c r="G390" s="24" t="s">
        <v>86</v>
      </c>
      <c r="H390" s="24" t="s">
        <v>198</v>
      </c>
      <c r="I390" s="24" t="s">
        <v>207</v>
      </c>
      <c r="J390" s="24" t="s">
        <v>224</v>
      </c>
      <c r="K390" s="24" t="s">
        <v>228</v>
      </c>
      <c r="L390" s="24" t="s">
        <v>230</v>
      </c>
      <c r="M390" s="24">
        <v>2</v>
      </c>
      <c r="N390" s="24" t="s">
        <v>51</v>
      </c>
      <c r="O390" s="24" t="s">
        <v>269</v>
      </c>
      <c r="P390" s="24" t="s">
        <v>262</v>
      </c>
      <c r="Q390" s="24" t="s">
        <v>288</v>
      </c>
      <c r="R390" s="24" t="s">
        <v>66</v>
      </c>
      <c r="S390" s="24" t="s">
        <v>38</v>
      </c>
      <c r="T390" s="24" t="s">
        <v>46</v>
      </c>
      <c r="U390" s="24" t="s">
        <v>115</v>
      </c>
    </row>
    <row r="391" spans="3:21" ht="21.9" customHeight="1" x14ac:dyDescent="0.3">
      <c r="C391" s="24">
        <v>153</v>
      </c>
      <c r="D391" s="45">
        <v>43939</v>
      </c>
      <c r="E391" s="24">
        <f t="shared" si="5"/>
        <v>4</v>
      </c>
      <c r="F391" s="46">
        <v>170</v>
      </c>
      <c r="G391" s="24" t="s">
        <v>85</v>
      </c>
      <c r="H391" s="24" t="s">
        <v>199</v>
      </c>
      <c r="I391" s="24" t="s">
        <v>209</v>
      </c>
      <c r="J391" s="24" t="s">
        <v>216</v>
      </c>
      <c r="K391" s="24" t="s">
        <v>228</v>
      </c>
      <c r="L391" s="24" t="s">
        <v>221</v>
      </c>
      <c r="M391" s="24">
        <v>1</v>
      </c>
      <c r="N391" s="24" t="s">
        <v>71</v>
      </c>
      <c r="O391" s="24" t="s">
        <v>271</v>
      </c>
      <c r="P391" s="24" t="s">
        <v>286</v>
      </c>
      <c r="Q391" s="24" t="s">
        <v>288</v>
      </c>
      <c r="R391" s="24" t="s">
        <v>345</v>
      </c>
      <c r="S391" s="24" t="s">
        <v>330</v>
      </c>
      <c r="T391" s="24" t="s">
        <v>44</v>
      </c>
      <c r="U391" s="24" t="s">
        <v>113</v>
      </c>
    </row>
    <row r="392" spans="3:21" ht="21.9" customHeight="1" x14ac:dyDescent="0.3">
      <c r="C392" s="24">
        <v>152</v>
      </c>
      <c r="D392" s="45">
        <v>43938</v>
      </c>
      <c r="E392" s="24">
        <f t="shared" si="5"/>
        <v>4</v>
      </c>
      <c r="F392" s="46">
        <v>400</v>
      </c>
      <c r="G392" s="24" t="s">
        <v>84</v>
      </c>
      <c r="H392" s="24" t="s">
        <v>200</v>
      </c>
      <c r="I392" s="24" t="s">
        <v>208</v>
      </c>
      <c r="J392" s="24" t="s">
        <v>222</v>
      </c>
      <c r="K392" s="24" t="s">
        <v>228</v>
      </c>
      <c r="L392" s="24" t="s">
        <v>220</v>
      </c>
      <c r="M392" s="24">
        <v>1</v>
      </c>
      <c r="N392" s="24" t="s">
        <v>73</v>
      </c>
      <c r="O392" s="24" t="s">
        <v>268</v>
      </c>
      <c r="P392" s="24" t="s">
        <v>262</v>
      </c>
      <c r="Q392" s="24" t="s">
        <v>288</v>
      </c>
      <c r="R392" s="24" t="s">
        <v>419</v>
      </c>
      <c r="S392" s="24" t="s">
        <v>491</v>
      </c>
      <c r="T392" s="24" t="s">
        <v>422</v>
      </c>
      <c r="U392" s="24" t="s">
        <v>113</v>
      </c>
    </row>
    <row r="393" spans="3:21" ht="21.9" customHeight="1" x14ac:dyDescent="0.3">
      <c r="C393" s="24">
        <v>151</v>
      </c>
      <c r="D393" s="45">
        <v>43937</v>
      </c>
      <c r="E393" s="24">
        <f t="shared" si="5"/>
        <v>4</v>
      </c>
      <c r="F393" s="46">
        <v>800</v>
      </c>
      <c r="G393" s="24" t="s">
        <v>83</v>
      </c>
      <c r="H393" s="24" t="s">
        <v>201</v>
      </c>
      <c r="I393" s="24" t="s">
        <v>208</v>
      </c>
      <c r="J393" s="24" t="s">
        <v>222</v>
      </c>
      <c r="K393" s="24" t="s">
        <v>226</v>
      </c>
      <c r="L393" s="24" t="s">
        <v>230</v>
      </c>
      <c r="M393" s="24">
        <v>1</v>
      </c>
      <c r="N393" s="24" t="s">
        <v>74</v>
      </c>
      <c r="O393" s="24" t="s">
        <v>270</v>
      </c>
      <c r="P393" s="24" t="s">
        <v>260</v>
      </c>
      <c r="Q393" s="24" t="s">
        <v>288</v>
      </c>
      <c r="R393" s="24" t="s">
        <v>52</v>
      </c>
      <c r="S393" s="24" t="s">
        <v>24</v>
      </c>
      <c r="T393" s="24" t="s">
        <v>44</v>
      </c>
      <c r="U393" s="24" t="s">
        <v>113</v>
      </c>
    </row>
    <row r="394" spans="3:21" ht="21.9" customHeight="1" x14ac:dyDescent="0.3">
      <c r="C394" s="24">
        <v>150</v>
      </c>
      <c r="D394" s="45">
        <v>43936</v>
      </c>
      <c r="E394" s="24">
        <f t="shared" si="5"/>
        <v>4</v>
      </c>
      <c r="F394" s="46">
        <v>1200</v>
      </c>
      <c r="G394" s="24" t="s">
        <v>82</v>
      </c>
      <c r="H394" s="24" t="s">
        <v>202</v>
      </c>
      <c r="I394" s="24" t="s">
        <v>207</v>
      </c>
      <c r="J394" s="24" t="s">
        <v>222</v>
      </c>
      <c r="K394" s="24" t="s">
        <v>226</v>
      </c>
      <c r="L394" s="24" t="s">
        <v>230</v>
      </c>
      <c r="M394" s="24">
        <v>3</v>
      </c>
      <c r="N394" s="24" t="s">
        <v>51</v>
      </c>
      <c r="O394" s="24" t="s">
        <v>269</v>
      </c>
      <c r="P394" s="24" t="s">
        <v>262</v>
      </c>
      <c r="Q394" s="24" t="s">
        <v>288</v>
      </c>
      <c r="R394" s="24" t="s">
        <v>53</v>
      </c>
      <c r="S394" s="24" t="s">
        <v>25</v>
      </c>
      <c r="T394" s="24" t="s">
        <v>45</v>
      </c>
      <c r="U394" s="24" t="s">
        <v>113</v>
      </c>
    </row>
    <row r="395" spans="3:21" ht="21.9" customHeight="1" x14ac:dyDescent="0.3">
      <c r="C395" s="24">
        <v>149</v>
      </c>
      <c r="D395" s="45">
        <v>43935</v>
      </c>
      <c r="E395" s="24">
        <f t="shared" si="5"/>
        <v>4</v>
      </c>
      <c r="F395" s="46">
        <v>250</v>
      </c>
      <c r="G395" s="24" t="s">
        <v>81</v>
      </c>
      <c r="H395" s="24" t="s">
        <v>203</v>
      </c>
      <c r="I395" s="24" t="s">
        <v>207</v>
      </c>
      <c r="J395" s="24" t="s">
        <v>223</v>
      </c>
      <c r="K395" s="24" t="s">
        <v>226</v>
      </c>
      <c r="L395" s="24" t="s">
        <v>230</v>
      </c>
      <c r="M395" s="24">
        <v>1</v>
      </c>
      <c r="N395" s="24" t="s">
        <v>76</v>
      </c>
      <c r="O395" s="24" t="s">
        <v>272</v>
      </c>
      <c r="P395" s="24" t="s">
        <v>245</v>
      </c>
      <c r="Q395" s="24" t="s">
        <v>288</v>
      </c>
      <c r="R395" s="24" t="s">
        <v>339</v>
      </c>
      <c r="S395" s="24" t="s">
        <v>314</v>
      </c>
      <c r="T395" s="24" t="s">
        <v>44</v>
      </c>
      <c r="U395" s="24" t="s">
        <v>113</v>
      </c>
    </row>
    <row r="396" spans="3:21" ht="21.9" customHeight="1" x14ac:dyDescent="0.3">
      <c r="C396" s="24">
        <v>148</v>
      </c>
      <c r="D396" s="45">
        <v>43934</v>
      </c>
      <c r="E396" s="24">
        <f t="shared" si="5"/>
        <v>4</v>
      </c>
      <c r="F396" s="46">
        <v>120</v>
      </c>
      <c r="G396" s="24" t="s">
        <v>80</v>
      </c>
      <c r="H396" s="24" t="s">
        <v>204</v>
      </c>
      <c r="I396" s="24" t="s">
        <v>207</v>
      </c>
      <c r="J396" s="24" t="s">
        <v>221</v>
      </c>
      <c r="K396" s="24" t="s">
        <v>229</v>
      </c>
      <c r="L396" s="24" t="s">
        <v>221</v>
      </c>
      <c r="M396" s="24">
        <v>3</v>
      </c>
      <c r="N396" s="24" t="s">
        <v>380</v>
      </c>
      <c r="O396" s="24" t="s">
        <v>381</v>
      </c>
      <c r="P396" s="24" t="s">
        <v>46</v>
      </c>
      <c r="Q396" s="24" t="s">
        <v>384</v>
      </c>
      <c r="R396" s="24" t="s">
        <v>53</v>
      </c>
      <c r="S396" s="24" t="s">
        <v>25</v>
      </c>
      <c r="T396" s="24" t="s">
        <v>45</v>
      </c>
      <c r="U396" s="24" t="s">
        <v>113</v>
      </c>
    </row>
    <row r="397" spans="3:21" ht="21.9" customHeight="1" x14ac:dyDescent="0.3">
      <c r="C397" s="24">
        <v>147</v>
      </c>
      <c r="D397" s="45">
        <v>43933</v>
      </c>
      <c r="E397" s="24">
        <f t="shared" si="5"/>
        <v>4</v>
      </c>
      <c r="F397" s="46">
        <v>35</v>
      </c>
      <c r="G397" s="24" t="s">
        <v>79</v>
      </c>
      <c r="H397" s="24" t="s">
        <v>205</v>
      </c>
      <c r="I397" s="24" t="s">
        <v>207</v>
      </c>
      <c r="J397" s="24" t="s">
        <v>221</v>
      </c>
      <c r="K397" s="24" t="s">
        <v>229</v>
      </c>
      <c r="L397" s="24" t="s">
        <v>221</v>
      </c>
      <c r="M397" s="24">
        <v>1</v>
      </c>
      <c r="N397" s="24" t="s">
        <v>77</v>
      </c>
      <c r="O397" s="24" t="s">
        <v>273</v>
      </c>
      <c r="P397" s="24" t="s">
        <v>241</v>
      </c>
      <c r="Q397" s="24" t="s">
        <v>287</v>
      </c>
      <c r="R397" s="24" t="s">
        <v>52</v>
      </c>
      <c r="S397" s="24" t="s">
        <v>24</v>
      </c>
      <c r="T397" s="24" t="s">
        <v>44</v>
      </c>
      <c r="U397" s="24" t="s">
        <v>113</v>
      </c>
    </row>
    <row r="398" spans="3:21" ht="21.9" customHeight="1" x14ac:dyDescent="0.3">
      <c r="C398" s="24">
        <v>146</v>
      </c>
      <c r="D398" s="45">
        <v>43932</v>
      </c>
      <c r="E398" s="24">
        <f t="shared" si="5"/>
        <v>4</v>
      </c>
      <c r="F398" s="46">
        <v>60</v>
      </c>
      <c r="G398" s="24" t="s">
        <v>78</v>
      </c>
      <c r="H398" s="24" t="s">
        <v>206</v>
      </c>
      <c r="I398" s="24" t="s">
        <v>207</v>
      </c>
      <c r="J398" s="24" t="s">
        <v>221</v>
      </c>
      <c r="K398" s="24" t="s">
        <v>229</v>
      </c>
      <c r="L398" s="24" t="s">
        <v>221</v>
      </c>
      <c r="M398" s="24">
        <v>2</v>
      </c>
      <c r="N398" s="24" t="s">
        <v>72</v>
      </c>
      <c r="O398" s="24" t="s">
        <v>250</v>
      </c>
      <c r="P398" s="24" t="s">
        <v>253</v>
      </c>
      <c r="Q398" s="24" t="s">
        <v>384</v>
      </c>
      <c r="R398" s="24" t="s">
        <v>431</v>
      </c>
      <c r="S398" s="24" t="s">
        <v>493</v>
      </c>
      <c r="T398" s="24" t="s">
        <v>434</v>
      </c>
      <c r="U398" s="24" t="s">
        <v>113</v>
      </c>
    </row>
    <row r="399" spans="3:21" ht="21.9" customHeight="1" x14ac:dyDescent="0.3">
      <c r="C399" s="24">
        <v>145</v>
      </c>
      <c r="D399" s="45">
        <v>43931</v>
      </c>
      <c r="E399" s="24">
        <f t="shared" si="5"/>
        <v>4</v>
      </c>
      <c r="F399" s="46">
        <v>3200</v>
      </c>
      <c r="G399" s="24" t="s">
        <v>121</v>
      </c>
      <c r="H399" s="24" t="s">
        <v>183</v>
      </c>
      <c r="I399" s="24" t="s">
        <v>207</v>
      </c>
      <c r="J399" s="24" t="s">
        <v>210</v>
      </c>
      <c r="K399" s="24" t="s">
        <v>184</v>
      </c>
      <c r="L399" s="24" t="s">
        <v>230</v>
      </c>
      <c r="M399" s="24">
        <v>2</v>
      </c>
      <c r="N399" s="24" t="s">
        <v>380</v>
      </c>
      <c r="O399" s="24" t="s">
        <v>381</v>
      </c>
      <c r="P399" s="24" t="s">
        <v>46</v>
      </c>
      <c r="Q399" s="24" t="s">
        <v>384</v>
      </c>
      <c r="R399" s="24" t="s">
        <v>344</v>
      </c>
      <c r="S399" s="24" t="s">
        <v>328</v>
      </c>
      <c r="T399" s="24" t="s">
        <v>46</v>
      </c>
      <c r="U399" s="24" t="s">
        <v>115</v>
      </c>
    </row>
    <row r="400" spans="3:21" ht="21.9" customHeight="1" x14ac:dyDescent="0.3">
      <c r="C400" s="24">
        <v>144</v>
      </c>
      <c r="D400" s="45">
        <v>43930</v>
      </c>
      <c r="E400" s="24">
        <f t="shared" si="5"/>
        <v>4</v>
      </c>
      <c r="F400" s="46">
        <v>8400</v>
      </c>
      <c r="G400" s="24" t="s">
        <v>120</v>
      </c>
      <c r="H400" s="24" t="s">
        <v>185</v>
      </c>
      <c r="I400" s="24" t="s">
        <v>207</v>
      </c>
      <c r="J400" s="24" t="s">
        <v>210</v>
      </c>
      <c r="K400" s="24" t="s">
        <v>184</v>
      </c>
      <c r="L400" s="24" t="s">
        <v>230</v>
      </c>
      <c r="M400" s="24">
        <v>3</v>
      </c>
      <c r="N400" s="24" t="s">
        <v>74</v>
      </c>
      <c r="O400" s="24" t="s">
        <v>270</v>
      </c>
      <c r="P400" s="24" t="s">
        <v>260</v>
      </c>
      <c r="Q400" s="24" t="s">
        <v>288</v>
      </c>
      <c r="R400" s="24" t="s">
        <v>340</v>
      </c>
      <c r="S400" s="24" t="s">
        <v>317</v>
      </c>
      <c r="T400" s="24" t="s">
        <v>327</v>
      </c>
      <c r="U400" s="24" t="s">
        <v>114</v>
      </c>
    </row>
    <row r="401" spans="3:21" ht="21.9" customHeight="1" x14ac:dyDescent="0.3">
      <c r="C401" s="24">
        <v>143</v>
      </c>
      <c r="D401" s="45">
        <v>43929</v>
      </c>
      <c r="E401" s="24">
        <f t="shared" si="5"/>
        <v>4</v>
      </c>
      <c r="F401" s="46">
        <v>160</v>
      </c>
      <c r="G401" s="24" t="s">
        <v>97</v>
      </c>
      <c r="H401" s="24" t="s">
        <v>189</v>
      </c>
      <c r="I401" s="24" t="s">
        <v>207</v>
      </c>
      <c r="J401" s="24" t="s">
        <v>211</v>
      </c>
      <c r="K401" s="24" t="s">
        <v>227</v>
      </c>
      <c r="L401" s="24" t="s">
        <v>186</v>
      </c>
      <c r="M401" s="24">
        <v>2</v>
      </c>
      <c r="N401" s="24" t="s">
        <v>77</v>
      </c>
      <c r="O401" s="24" t="s">
        <v>273</v>
      </c>
      <c r="P401" s="24" t="s">
        <v>241</v>
      </c>
      <c r="Q401" s="24" t="s">
        <v>287</v>
      </c>
      <c r="R401" s="24" t="s">
        <v>67</v>
      </c>
      <c r="S401" s="24" t="s">
        <v>39</v>
      </c>
      <c r="T401" s="24" t="s">
        <v>45</v>
      </c>
      <c r="U401" s="24" t="s">
        <v>116</v>
      </c>
    </row>
    <row r="402" spans="3:21" ht="21.9" customHeight="1" x14ac:dyDescent="0.3">
      <c r="C402" s="24">
        <v>142</v>
      </c>
      <c r="D402" s="45">
        <v>43928</v>
      </c>
      <c r="E402" s="24">
        <f t="shared" si="5"/>
        <v>4</v>
      </c>
      <c r="F402" s="46">
        <v>180</v>
      </c>
      <c r="G402" s="24" t="s">
        <v>96</v>
      </c>
      <c r="H402" s="24" t="s">
        <v>190</v>
      </c>
      <c r="I402" s="24" t="s">
        <v>208</v>
      </c>
      <c r="J402" s="24" t="s">
        <v>212</v>
      </c>
      <c r="K402" s="24" t="s">
        <v>227</v>
      </c>
      <c r="L402" s="24" t="s">
        <v>223</v>
      </c>
      <c r="M402" s="24">
        <v>3</v>
      </c>
      <c r="N402" s="24" t="s">
        <v>77</v>
      </c>
      <c r="O402" s="24" t="s">
        <v>273</v>
      </c>
      <c r="P402" s="24" t="s">
        <v>241</v>
      </c>
      <c r="Q402" s="24" t="s">
        <v>287</v>
      </c>
      <c r="R402" s="24" t="s">
        <v>481</v>
      </c>
      <c r="S402" s="24" t="s">
        <v>501</v>
      </c>
      <c r="T402" s="24" t="s">
        <v>49</v>
      </c>
      <c r="U402" s="24" t="s">
        <v>115</v>
      </c>
    </row>
    <row r="403" spans="3:21" ht="21.9" customHeight="1" x14ac:dyDescent="0.3">
      <c r="C403" s="24">
        <v>141</v>
      </c>
      <c r="D403" s="45">
        <v>43927</v>
      </c>
      <c r="E403" s="24">
        <f t="shared" si="5"/>
        <v>4</v>
      </c>
      <c r="F403" s="46">
        <v>100</v>
      </c>
      <c r="G403" s="24" t="s">
        <v>95</v>
      </c>
      <c r="H403" s="24" t="s">
        <v>191</v>
      </c>
      <c r="I403" s="24" t="s">
        <v>207</v>
      </c>
      <c r="J403" s="24" t="s">
        <v>222</v>
      </c>
      <c r="K403" s="24" t="s">
        <v>226</v>
      </c>
      <c r="L403" s="24" t="s">
        <v>231</v>
      </c>
      <c r="M403" s="24">
        <v>1</v>
      </c>
      <c r="N403" s="24" t="s">
        <v>71</v>
      </c>
      <c r="O403" s="24" t="s">
        <v>271</v>
      </c>
      <c r="P403" s="24" t="s">
        <v>286</v>
      </c>
      <c r="Q403" s="24" t="s">
        <v>288</v>
      </c>
      <c r="R403" s="24" t="s">
        <v>345</v>
      </c>
      <c r="S403" s="24" t="s">
        <v>330</v>
      </c>
      <c r="T403" s="24" t="s">
        <v>44</v>
      </c>
      <c r="U403" s="24" t="s">
        <v>113</v>
      </c>
    </row>
    <row r="404" spans="3:21" ht="21.9" customHeight="1" x14ac:dyDescent="0.3">
      <c r="C404" s="24">
        <v>140</v>
      </c>
      <c r="D404" s="45">
        <v>43926</v>
      </c>
      <c r="E404" s="24">
        <f t="shared" si="5"/>
        <v>4</v>
      </c>
      <c r="F404" s="46">
        <v>600</v>
      </c>
      <c r="G404" s="24" t="s">
        <v>94</v>
      </c>
      <c r="H404" s="24" t="s">
        <v>192</v>
      </c>
      <c r="I404" s="24" t="s">
        <v>207</v>
      </c>
      <c r="J404" s="24" t="s">
        <v>216</v>
      </c>
      <c r="K404" s="24" t="s">
        <v>187</v>
      </c>
      <c r="L404" s="24" t="s">
        <v>232</v>
      </c>
      <c r="M404" s="24">
        <v>2</v>
      </c>
      <c r="N404" s="24" t="s">
        <v>76</v>
      </c>
      <c r="O404" s="24" t="s">
        <v>272</v>
      </c>
      <c r="P404" s="24" t="s">
        <v>245</v>
      </c>
      <c r="Q404" s="24" t="s">
        <v>288</v>
      </c>
      <c r="R404" s="24" t="s">
        <v>346</v>
      </c>
      <c r="S404" s="24" t="s">
        <v>333</v>
      </c>
      <c r="T404" s="24" t="s">
        <v>47</v>
      </c>
      <c r="U404" s="24" t="s">
        <v>114</v>
      </c>
    </row>
    <row r="405" spans="3:21" ht="21.9" customHeight="1" x14ac:dyDescent="0.3">
      <c r="C405" s="24">
        <v>139</v>
      </c>
      <c r="D405" s="45">
        <v>43925</v>
      </c>
      <c r="E405" s="24">
        <f t="shared" si="5"/>
        <v>4</v>
      </c>
      <c r="F405" s="46">
        <v>700</v>
      </c>
      <c r="G405" s="24" t="s">
        <v>93</v>
      </c>
      <c r="H405" s="24" t="s">
        <v>193</v>
      </c>
      <c r="I405" s="24" t="s">
        <v>208</v>
      </c>
      <c r="J405" s="24" t="s">
        <v>218</v>
      </c>
      <c r="K405" s="24" t="s">
        <v>187</v>
      </c>
      <c r="L405" s="24" t="s">
        <v>186</v>
      </c>
      <c r="M405" s="24">
        <v>2</v>
      </c>
      <c r="N405" s="24" t="s">
        <v>76</v>
      </c>
      <c r="O405" s="24" t="s">
        <v>272</v>
      </c>
      <c r="P405" s="24" t="s">
        <v>245</v>
      </c>
      <c r="Q405" s="24" t="s">
        <v>288</v>
      </c>
      <c r="R405" s="24" t="s">
        <v>61</v>
      </c>
      <c r="S405" s="24" t="s">
        <v>33</v>
      </c>
      <c r="T405" s="24" t="s">
        <v>47</v>
      </c>
      <c r="U405" s="24" t="s">
        <v>113</v>
      </c>
    </row>
    <row r="406" spans="3:21" ht="21.9" customHeight="1" x14ac:dyDescent="0.3">
      <c r="C406" s="24">
        <v>138</v>
      </c>
      <c r="D406" s="45">
        <v>43924</v>
      </c>
      <c r="E406" s="24">
        <f t="shared" si="5"/>
        <v>4</v>
      </c>
      <c r="F406" s="46">
        <v>540</v>
      </c>
      <c r="G406" s="24" t="s">
        <v>92</v>
      </c>
      <c r="H406" s="24" t="s">
        <v>225</v>
      </c>
      <c r="I406" s="24" t="s">
        <v>207</v>
      </c>
      <c r="J406" s="24" t="s">
        <v>219</v>
      </c>
      <c r="K406" s="24" t="s">
        <v>226</v>
      </c>
      <c r="L406" s="24" t="s">
        <v>186</v>
      </c>
      <c r="M406" s="24">
        <v>2</v>
      </c>
      <c r="N406" s="24" t="s">
        <v>73</v>
      </c>
      <c r="O406" s="24" t="s">
        <v>268</v>
      </c>
      <c r="P406" s="24" t="s">
        <v>262</v>
      </c>
      <c r="Q406" s="24" t="s">
        <v>288</v>
      </c>
      <c r="R406" s="24" t="s">
        <v>448</v>
      </c>
      <c r="S406" s="24" t="s">
        <v>496</v>
      </c>
      <c r="T406" s="24" t="s">
        <v>451</v>
      </c>
      <c r="U406" s="24" t="s">
        <v>113</v>
      </c>
    </row>
    <row r="407" spans="3:21" ht="21.9" customHeight="1" x14ac:dyDescent="0.3">
      <c r="C407" s="24">
        <v>137</v>
      </c>
      <c r="D407" s="45">
        <v>43923</v>
      </c>
      <c r="E407" s="24">
        <f t="shared" si="5"/>
        <v>4</v>
      </c>
      <c r="F407" s="46">
        <v>1000</v>
      </c>
      <c r="G407" s="24" t="s">
        <v>91</v>
      </c>
      <c r="H407" s="24" t="s">
        <v>194</v>
      </c>
      <c r="I407" s="24" t="s">
        <v>209</v>
      </c>
      <c r="J407" s="24" t="s">
        <v>219</v>
      </c>
      <c r="K407" s="24" t="s">
        <v>187</v>
      </c>
      <c r="L407" s="24" t="s">
        <v>186</v>
      </c>
      <c r="M407" s="24">
        <v>2</v>
      </c>
      <c r="N407" s="24" t="s">
        <v>380</v>
      </c>
      <c r="O407" s="24" t="s">
        <v>381</v>
      </c>
      <c r="P407" s="24" t="s">
        <v>46</v>
      </c>
      <c r="Q407" s="24" t="s">
        <v>384</v>
      </c>
      <c r="R407" s="24" t="s">
        <v>70</v>
      </c>
      <c r="S407" s="24" t="s">
        <v>42</v>
      </c>
      <c r="T407" s="24" t="s">
        <v>47</v>
      </c>
      <c r="U407" s="24" t="s">
        <v>114</v>
      </c>
    </row>
    <row r="408" spans="3:21" ht="21.9" customHeight="1" x14ac:dyDescent="0.3">
      <c r="C408" s="24">
        <v>136</v>
      </c>
      <c r="D408" s="45">
        <v>43922</v>
      </c>
      <c r="E408" s="24">
        <f t="shared" si="5"/>
        <v>4</v>
      </c>
      <c r="F408" s="46">
        <v>900</v>
      </c>
      <c r="G408" s="24" t="s">
        <v>90</v>
      </c>
      <c r="H408" s="24" t="s">
        <v>188</v>
      </c>
      <c r="I408" s="24" t="s">
        <v>209</v>
      </c>
      <c r="J408" s="24" t="s">
        <v>220</v>
      </c>
      <c r="K408" s="24" t="s">
        <v>187</v>
      </c>
      <c r="L408" s="24" t="s">
        <v>220</v>
      </c>
      <c r="M408" s="24">
        <v>1</v>
      </c>
      <c r="N408" s="24" t="s">
        <v>72</v>
      </c>
      <c r="O408" s="24" t="s">
        <v>250</v>
      </c>
      <c r="P408" s="24" t="s">
        <v>253</v>
      </c>
      <c r="Q408" s="24" t="s">
        <v>384</v>
      </c>
      <c r="R408" s="24" t="s">
        <v>431</v>
      </c>
      <c r="S408" s="24" t="s">
        <v>493</v>
      </c>
      <c r="T408" s="24" t="s">
        <v>434</v>
      </c>
      <c r="U408" s="24" t="s">
        <v>113</v>
      </c>
    </row>
    <row r="409" spans="3:21" ht="21.9" customHeight="1" x14ac:dyDescent="0.3">
      <c r="C409" s="24">
        <v>135</v>
      </c>
      <c r="D409" s="45">
        <v>43933</v>
      </c>
      <c r="E409" s="24">
        <f t="shared" si="5"/>
        <v>4</v>
      </c>
      <c r="F409" s="46">
        <v>60</v>
      </c>
      <c r="G409" s="24" t="s">
        <v>89</v>
      </c>
      <c r="H409" s="24" t="s">
        <v>195</v>
      </c>
      <c r="I409" s="24" t="s">
        <v>207</v>
      </c>
      <c r="J409" s="24" t="s">
        <v>223</v>
      </c>
      <c r="K409" s="24" t="s">
        <v>226</v>
      </c>
      <c r="L409" s="24" t="s">
        <v>220</v>
      </c>
      <c r="M409" s="24">
        <v>1</v>
      </c>
      <c r="N409" s="24" t="s">
        <v>380</v>
      </c>
      <c r="O409" s="24" t="s">
        <v>381</v>
      </c>
      <c r="P409" s="24" t="s">
        <v>46</v>
      </c>
      <c r="Q409" s="24" t="s">
        <v>384</v>
      </c>
      <c r="R409" s="24" t="s">
        <v>346</v>
      </c>
      <c r="S409" s="24" t="s">
        <v>333</v>
      </c>
      <c r="T409" s="24" t="s">
        <v>47</v>
      </c>
      <c r="U409" s="24" t="s">
        <v>114</v>
      </c>
    </row>
    <row r="410" spans="3:21" ht="21.9" customHeight="1" x14ac:dyDescent="0.3">
      <c r="C410" s="24">
        <v>134</v>
      </c>
      <c r="D410" s="45">
        <v>43932</v>
      </c>
      <c r="E410" s="24">
        <f t="shared" si="5"/>
        <v>4</v>
      </c>
      <c r="F410" s="46">
        <v>210</v>
      </c>
      <c r="G410" s="24" t="s">
        <v>88</v>
      </c>
      <c r="H410" s="24" t="s">
        <v>196</v>
      </c>
      <c r="I410" s="24" t="s">
        <v>208</v>
      </c>
      <c r="J410" s="24" t="s">
        <v>216</v>
      </c>
      <c r="K410" s="24" t="s">
        <v>226</v>
      </c>
      <c r="L410" s="24" t="s">
        <v>230</v>
      </c>
      <c r="M410" s="24">
        <v>3</v>
      </c>
      <c r="N410" s="24" t="s">
        <v>380</v>
      </c>
      <c r="O410" s="24" t="s">
        <v>381</v>
      </c>
      <c r="P410" s="24" t="s">
        <v>46</v>
      </c>
      <c r="Q410" s="24" t="s">
        <v>384</v>
      </c>
      <c r="R410" s="24" t="s">
        <v>52</v>
      </c>
      <c r="S410" s="24" t="s">
        <v>24</v>
      </c>
      <c r="T410" s="24" t="s">
        <v>44</v>
      </c>
      <c r="U410" s="24" t="s">
        <v>113</v>
      </c>
    </row>
    <row r="411" spans="3:21" ht="21.9" customHeight="1" x14ac:dyDescent="0.3">
      <c r="C411" s="24">
        <v>133</v>
      </c>
      <c r="D411" s="45">
        <v>43931</v>
      </c>
      <c r="E411" s="24">
        <f t="shared" si="5"/>
        <v>4</v>
      </c>
      <c r="F411" s="46">
        <v>228</v>
      </c>
      <c r="G411" s="24" t="s">
        <v>87</v>
      </c>
      <c r="H411" s="24" t="s">
        <v>197</v>
      </c>
      <c r="I411" s="24" t="s">
        <v>208</v>
      </c>
      <c r="J411" s="24" t="s">
        <v>222</v>
      </c>
      <c r="K411" s="24" t="s">
        <v>226</v>
      </c>
      <c r="L411" s="24" t="s">
        <v>230</v>
      </c>
      <c r="M411" s="24">
        <v>3</v>
      </c>
      <c r="N411" s="24" t="s">
        <v>380</v>
      </c>
      <c r="O411" s="24" t="s">
        <v>381</v>
      </c>
      <c r="P411" s="24" t="s">
        <v>46</v>
      </c>
      <c r="Q411" s="24" t="s">
        <v>384</v>
      </c>
      <c r="R411" s="24" t="s">
        <v>54</v>
      </c>
      <c r="S411" s="24" t="s">
        <v>26</v>
      </c>
      <c r="T411" s="24" t="s">
        <v>46</v>
      </c>
      <c r="U411" s="24" t="s">
        <v>114</v>
      </c>
    </row>
    <row r="412" spans="3:21" ht="21.9" customHeight="1" x14ac:dyDescent="0.3">
      <c r="C412" s="24">
        <v>132</v>
      </c>
      <c r="D412" s="45">
        <v>43930</v>
      </c>
      <c r="E412" s="24">
        <f t="shared" si="5"/>
        <v>4</v>
      </c>
      <c r="F412" s="46">
        <v>1200</v>
      </c>
      <c r="G412" s="24" t="s">
        <v>86</v>
      </c>
      <c r="H412" s="24" t="s">
        <v>198</v>
      </c>
      <c r="I412" s="24" t="s">
        <v>207</v>
      </c>
      <c r="J412" s="24" t="s">
        <v>224</v>
      </c>
      <c r="K412" s="24" t="s">
        <v>228</v>
      </c>
      <c r="L412" s="24" t="s">
        <v>230</v>
      </c>
      <c r="M412" s="24">
        <v>2</v>
      </c>
      <c r="N412" s="24" t="s">
        <v>74</v>
      </c>
      <c r="O412" s="24" t="s">
        <v>270</v>
      </c>
      <c r="P412" s="24" t="s">
        <v>260</v>
      </c>
      <c r="Q412" s="24" t="s">
        <v>288</v>
      </c>
      <c r="R412" s="24" t="s">
        <v>425</v>
      </c>
      <c r="S412" s="24" t="s">
        <v>492</v>
      </c>
      <c r="T412" s="24" t="s">
        <v>428</v>
      </c>
      <c r="U412" s="24" t="s">
        <v>113</v>
      </c>
    </row>
    <row r="413" spans="3:21" ht="21.9" customHeight="1" x14ac:dyDescent="0.3">
      <c r="C413" s="24">
        <v>131</v>
      </c>
      <c r="D413" s="45">
        <v>43929</v>
      </c>
      <c r="E413" s="24">
        <f t="shared" si="5"/>
        <v>4</v>
      </c>
      <c r="F413" s="46">
        <v>170</v>
      </c>
      <c r="G413" s="24" t="s">
        <v>85</v>
      </c>
      <c r="H413" s="24" t="s">
        <v>199</v>
      </c>
      <c r="I413" s="24" t="s">
        <v>209</v>
      </c>
      <c r="J413" s="24" t="s">
        <v>216</v>
      </c>
      <c r="K413" s="24" t="s">
        <v>228</v>
      </c>
      <c r="L413" s="24" t="s">
        <v>221</v>
      </c>
      <c r="M413" s="24">
        <v>1</v>
      </c>
      <c r="N413" s="24" t="s">
        <v>72</v>
      </c>
      <c r="O413" s="24" t="s">
        <v>250</v>
      </c>
      <c r="P413" s="24" t="s">
        <v>253</v>
      </c>
      <c r="Q413" s="24" t="s">
        <v>384</v>
      </c>
      <c r="R413" s="24" t="s">
        <v>50</v>
      </c>
      <c r="S413" s="24" t="s">
        <v>291</v>
      </c>
      <c r="T413" s="24" t="s">
        <v>46</v>
      </c>
      <c r="U413" s="24" t="s">
        <v>294</v>
      </c>
    </row>
    <row r="414" spans="3:21" ht="21.9" customHeight="1" x14ac:dyDescent="0.3">
      <c r="C414" s="24">
        <v>130</v>
      </c>
      <c r="D414" s="45">
        <v>43928</v>
      </c>
      <c r="E414" s="24">
        <f t="shared" si="5"/>
        <v>4</v>
      </c>
      <c r="F414" s="46">
        <v>1200</v>
      </c>
      <c r="G414" s="24" t="s">
        <v>84</v>
      </c>
      <c r="H414" s="24" t="s">
        <v>200</v>
      </c>
      <c r="I414" s="24" t="s">
        <v>208</v>
      </c>
      <c r="J414" s="24" t="s">
        <v>222</v>
      </c>
      <c r="K414" s="24" t="s">
        <v>228</v>
      </c>
      <c r="L414" s="24" t="s">
        <v>220</v>
      </c>
      <c r="M414" s="24">
        <v>3</v>
      </c>
      <c r="N414" s="24" t="s">
        <v>72</v>
      </c>
      <c r="O414" s="24" t="s">
        <v>250</v>
      </c>
      <c r="P414" s="24" t="s">
        <v>253</v>
      </c>
      <c r="Q414" s="24" t="s">
        <v>384</v>
      </c>
      <c r="R414" s="24" t="s">
        <v>425</v>
      </c>
      <c r="S414" s="24" t="s">
        <v>492</v>
      </c>
      <c r="T414" s="24" t="s">
        <v>428</v>
      </c>
      <c r="U414" s="24" t="s">
        <v>113</v>
      </c>
    </row>
    <row r="415" spans="3:21" ht="21.9" customHeight="1" x14ac:dyDescent="0.3">
      <c r="C415" s="24">
        <v>129</v>
      </c>
      <c r="D415" s="45">
        <v>43927</v>
      </c>
      <c r="E415" s="24">
        <f t="shared" si="5"/>
        <v>4</v>
      </c>
      <c r="F415" s="46">
        <v>800</v>
      </c>
      <c r="G415" s="24" t="s">
        <v>83</v>
      </c>
      <c r="H415" s="24" t="s">
        <v>201</v>
      </c>
      <c r="I415" s="24" t="s">
        <v>208</v>
      </c>
      <c r="J415" s="24" t="s">
        <v>222</v>
      </c>
      <c r="K415" s="24" t="s">
        <v>226</v>
      </c>
      <c r="L415" s="24" t="s">
        <v>230</v>
      </c>
      <c r="M415" s="24">
        <v>1</v>
      </c>
      <c r="N415" s="24" t="s">
        <v>77</v>
      </c>
      <c r="O415" s="24" t="s">
        <v>273</v>
      </c>
      <c r="P415" s="24" t="s">
        <v>241</v>
      </c>
      <c r="Q415" s="24" t="s">
        <v>287</v>
      </c>
      <c r="R415" s="24" t="s">
        <v>70</v>
      </c>
      <c r="S415" s="24" t="s">
        <v>42</v>
      </c>
      <c r="T415" s="24" t="s">
        <v>47</v>
      </c>
      <c r="U415" s="24" t="s">
        <v>114</v>
      </c>
    </row>
    <row r="416" spans="3:21" ht="21.9" customHeight="1" x14ac:dyDescent="0.3">
      <c r="C416" s="24">
        <v>128</v>
      </c>
      <c r="D416" s="45">
        <v>43926</v>
      </c>
      <c r="E416" s="24">
        <f t="shared" si="5"/>
        <v>4</v>
      </c>
      <c r="F416" s="46">
        <v>1200</v>
      </c>
      <c r="G416" s="24" t="s">
        <v>82</v>
      </c>
      <c r="H416" s="24" t="s">
        <v>202</v>
      </c>
      <c r="I416" s="24" t="s">
        <v>207</v>
      </c>
      <c r="J416" s="24" t="s">
        <v>222</v>
      </c>
      <c r="K416" s="24" t="s">
        <v>226</v>
      </c>
      <c r="L416" s="24" t="s">
        <v>230</v>
      </c>
      <c r="M416" s="24">
        <v>3</v>
      </c>
      <c r="N416" s="24" t="s">
        <v>51</v>
      </c>
      <c r="O416" s="24" t="s">
        <v>269</v>
      </c>
      <c r="P416" s="24" t="s">
        <v>262</v>
      </c>
      <c r="Q416" s="24" t="s">
        <v>288</v>
      </c>
      <c r="R416" s="24" t="s">
        <v>431</v>
      </c>
      <c r="S416" s="24" t="s">
        <v>493</v>
      </c>
      <c r="T416" s="24" t="s">
        <v>434</v>
      </c>
      <c r="U416" s="24" t="s">
        <v>113</v>
      </c>
    </row>
    <row r="417" spans="3:21" ht="21.9" customHeight="1" x14ac:dyDescent="0.3">
      <c r="C417" s="24">
        <v>127</v>
      </c>
      <c r="D417" s="45">
        <v>43925</v>
      </c>
      <c r="E417" s="24">
        <f t="shared" si="5"/>
        <v>4</v>
      </c>
      <c r="F417" s="46">
        <v>750</v>
      </c>
      <c r="G417" s="24" t="s">
        <v>81</v>
      </c>
      <c r="H417" s="24" t="s">
        <v>203</v>
      </c>
      <c r="I417" s="24" t="s">
        <v>207</v>
      </c>
      <c r="J417" s="24" t="s">
        <v>223</v>
      </c>
      <c r="K417" s="24" t="s">
        <v>226</v>
      </c>
      <c r="L417" s="24" t="s">
        <v>230</v>
      </c>
      <c r="M417" s="24">
        <v>3</v>
      </c>
      <c r="N417" s="24" t="s">
        <v>71</v>
      </c>
      <c r="O417" s="24" t="s">
        <v>271</v>
      </c>
      <c r="P417" s="24" t="s">
        <v>286</v>
      </c>
      <c r="Q417" s="24" t="s">
        <v>288</v>
      </c>
      <c r="R417" s="24" t="s">
        <v>448</v>
      </c>
      <c r="S417" s="24" t="s">
        <v>496</v>
      </c>
      <c r="T417" s="24" t="s">
        <v>451</v>
      </c>
      <c r="U417" s="24" t="s">
        <v>113</v>
      </c>
    </row>
    <row r="418" spans="3:21" ht="21.9" customHeight="1" x14ac:dyDescent="0.3">
      <c r="C418" s="24">
        <v>126</v>
      </c>
      <c r="D418" s="45">
        <v>43924</v>
      </c>
      <c r="E418" s="24">
        <f t="shared" si="5"/>
        <v>4</v>
      </c>
      <c r="F418" s="46">
        <v>80</v>
      </c>
      <c r="G418" s="24" t="s">
        <v>80</v>
      </c>
      <c r="H418" s="24" t="s">
        <v>204</v>
      </c>
      <c r="I418" s="24" t="s">
        <v>207</v>
      </c>
      <c r="J418" s="24" t="s">
        <v>221</v>
      </c>
      <c r="K418" s="24" t="s">
        <v>229</v>
      </c>
      <c r="L418" s="24" t="s">
        <v>221</v>
      </c>
      <c r="M418" s="24">
        <v>2</v>
      </c>
      <c r="N418" s="24" t="s">
        <v>73</v>
      </c>
      <c r="O418" s="24" t="s">
        <v>268</v>
      </c>
      <c r="P418" s="24" t="s">
        <v>262</v>
      </c>
      <c r="Q418" s="24" t="s">
        <v>288</v>
      </c>
      <c r="R418" s="24" t="s">
        <v>290</v>
      </c>
      <c r="S418" s="24" t="s">
        <v>296</v>
      </c>
      <c r="T418" s="24" t="s">
        <v>45</v>
      </c>
      <c r="U418" s="24" t="s">
        <v>113</v>
      </c>
    </row>
    <row r="419" spans="3:21" ht="21.9" customHeight="1" x14ac:dyDescent="0.3">
      <c r="C419" s="24">
        <v>125</v>
      </c>
      <c r="D419" s="45">
        <v>43923</v>
      </c>
      <c r="E419" s="24">
        <f t="shared" si="5"/>
        <v>4</v>
      </c>
      <c r="F419" s="46">
        <v>70</v>
      </c>
      <c r="G419" s="24" t="s">
        <v>79</v>
      </c>
      <c r="H419" s="24" t="s">
        <v>205</v>
      </c>
      <c r="I419" s="24" t="s">
        <v>207</v>
      </c>
      <c r="J419" s="24" t="s">
        <v>221</v>
      </c>
      <c r="K419" s="24" t="s">
        <v>229</v>
      </c>
      <c r="L419" s="24" t="s">
        <v>221</v>
      </c>
      <c r="M419" s="24">
        <v>2</v>
      </c>
      <c r="N419" s="24" t="s">
        <v>380</v>
      </c>
      <c r="O419" s="24" t="s">
        <v>381</v>
      </c>
      <c r="P419" s="24" t="s">
        <v>46</v>
      </c>
      <c r="Q419" s="24" t="s">
        <v>384</v>
      </c>
      <c r="R419" s="24" t="s">
        <v>347</v>
      </c>
      <c r="S419" s="24" t="s">
        <v>335</v>
      </c>
      <c r="T419" s="24" t="s">
        <v>49</v>
      </c>
      <c r="U419" s="24" t="s">
        <v>113</v>
      </c>
    </row>
    <row r="420" spans="3:21" ht="21.9" customHeight="1" x14ac:dyDescent="0.3">
      <c r="C420" s="24">
        <v>124</v>
      </c>
      <c r="D420" s="45">
        <v>43922</v>
      </c>
      <c r="E420" s="24">
        <f t="shared" si="5"/>
        <v>4</v>
      </c>
      <c r="F420" s="46">
        <v>60</v>
      </c>
      <c r="G420" s="24" t="s">
        <v>78</v>
      </c>
      <c r="H420" s="24" t="s">
        <v>206</v>
      </c>
      <c r="I420" s="24" t="s">
        <v>207</v>
      </c>
      <c r="J420" s="24" t="s">
        <v>221</v>
      </c>
      <c r="K420" s="24" t="s">
        <v>229</v>
      </c>
      <c r="L420" s="24" t="s">
        <v>221</v>
      </c>
      <c r="M420" s="24">
        <v>2</v>
      </c>
      <c r="N420" s="24" t="s">
        <v>73</v>
      </c>
      <c r="O420" s="24" t="s">
        <v>268</v>
      </c>
      <c r="P420" s="24" t="s">
        <v>262</v>
      </c>
      <c r="Q420" s="24" t="s">
        <v>288</v>
      </c>
      <c r="R420" s="24" t="s">
        <v>70</v>
      </c>
      <c r="S420" s="24" t="s">
        <v>42</v>
      </c>
      <c r="T420" s="24" t="s">
        <v>47</v>
      </c>
      <c r="U420" s="24" t="s">
        <v>114</v>
      </c>
    </row>
    <row r="421" spans="3:21" ht="21.9" customHeight="1" x14ac:dyDescent="0.3">
      <c r="C421" s="24">
        <v>123</v>
      </c>
      <c r="D421" s="45">
        <v>43920</v>
      </c>
      <c r="E421" s="24">
        <f t="shared" si="5"/>
        <v>3</v>
      </c>
      <c r="F421" s="46">
        <v>500</v>
      </c>
      <c r="G421" s="24" t="s">
        <v>91</v>
      </c>
      <c r="H421" s="24" t="s">
        <v>194</v>
      </c>
      <c r="I421" s="24" t="s">
        <v>209</v>
      </c>
      <c r="J421" s="24" t="s">
        <v>219</v>
      </c>
      <c r="K421" s="24" t="s">
        <v>187</v>
      </c>
      <c r="L421" s="24" t="s">
        <v>186</v>
      </c>
      <c r="M421" s="24">
        <v>1</v>
      </c>
      <c r="N421" s="24" t="s">
        <v>76</v>
      </c>
      <c r="O421" s="24" t="s">
        <v>272</v>
      </c>
      <c r="P421" s="24" t="s">
        <v>245</v>
      </c>
      <c r="Q421" s="24" t="s">
        <v>288</v>
      </c>
      <c r="R421" s="24" t="s">
        <v>70</v>
      </c>
      <c r="S421" s="24" t="s">
        <v>42</v>
      </c>
      <c r="T421" s="24" t="s">
        <v>47</v>
      </c>
      <c r="U421" s="24" t="s">
        <v>114</v>
      </c>
    </row>
    <row r="422" spans="3:21" ht="21.9" customHeight="1" x14ac:dyDescent="0.3">
      <c r="C422" s="24">
        <v>122</v>
      </c>
      <c r="D422" s="45">
        <v>43919</v>
      </c>
      <c r="E422" s="24">
        <f t="shared" ref="E422:E485" si="6">MONTH(D422)</f>
        <v>3</v>
      </c>
      <c r="F422" s="46">
        <v>900</v>
      </c>
      <c r="G422" s="24" t="s">
        <v>90</v>
      </c>
      <c r="H422" s="24" t="s">
        <v>188</v>
      </c>
      <c r="I422" s="24" t="s">
        <v>209</v>
      </c>
      <c r="J422" s="24" t="s">
        <v>220</v>
      </c>
      <c r="K422" s="24" t="s">
        <v>187</v>
      </c>
      <c r="L422" s="24" t="s">
        <v>220</v>
      </c>
      <c r="M422" s="24">
        <v>1</v>
      </c>
      <c r="N422" s="24" t="s">
        <v>74</v>
      </c>
      <c r="O422" s="24" t="s">
        <v>270</v>
      </c>
      <c r="P422" s="24" t="s">
        <v>260</v>
      </c>
      <c r="Q422" s="24" t="s">
        <v>288</v>
      </c>
      <c r="R422" s="24" t="s">
        <v>340</v>
      </c>
      <c r="S422" s="24" t="s">
        <v>317</v>
      </c>
      <c r="T422" s="24" t="s">
        <v>327</v>
      </c>
      <c r="U422" s="24" t="s">
        <v>114</v>
      </c>
    </row>
    <row r="423" spans="3:21" ht="21.9" customHeight="1" x14ac:dyDescent="0.3">
      <c r="C423" s="24">
        <v>121</v>
      </c>
      <c r="D423" s="45">
        <v>43918</v>
      </c>
      <c r="E423" s="24">
        <f t="shared" si="6"/>
        <v>3</v>
      </c>
      <c r="F423" s="46">
        <v>180</v>
      </c>
      <c r="G423" s="24" t="s">
        <v>89</v>
      </c>
      <c r="H423" s="24" t="s">
        <v>195</v>
      </c>
      <c r="I423" s="24" t="s">
        <v>207</v>
      </c>
      <c r="J423" s="24" t="s">
        <v>223</v>
      </c>
      <c r="K423" s="24" t="s">
        <v>226</v>
      </c>
      <c r="L423" s="24" t="s">
        <v>220</v>
      </c>
      <c r="M423" s="24">
        <v>3</v>
      </c>
      <c r="N423" s="24" t="s">
        <v>76</v>
      </c>
      <c r="O423" s="24" t="s">
        <v>272</v>
      </c>
      <c r="P423" s="24" t="s">
        <v>245</v>
      </c>
      <c r="Q423" s="24" t="s">
        <v>288</v>
      </c>
      <c r="R423" s="24" t="s">
        <v>470</v>
      </c>
      <c r="S423" s="24" t="s">
        <v>500</v>
      </c>
      <c r="T423" s="24" t="s">
        <v>473</v>
      </c>
      <c r="U423" s="24" t="s">
        <v>113</v>
      </c>
    </row>
    <row r="424" spans="3:21" ht="21.9" customHeight="1" x14ac:dyDescent="0.3">
      <c r="C424" s="24">
        <v>120</v>
      </c>
      <c r="D424" s="45">
        <v>43917</v>
      </c>
      <c r="E424" s="24">
        <f t="shared" si="6"/>
        <v>3</v>
      </c>
      <c r="F424" s="46">
        <v>140</v>
      </c>
      <c r="G424" s="24" t="s">
        <v>88</v>
      </c>
      <c r="H424" s="24" t="s">
        <v>196</v>
      </c>
      <c r="I424" s="24" t="s">
        <v>208</v>
      </c>
      <c r="J424" s="24" t="s">
        <v>216</v>
      </c>
      <c r="K424" s="24" t="s">
        <v>226</v>
      </c>
      <c r="L424" s="24" t="s">
        <v>230</v>
      </c>
      <c r="M424" s="24">
        <v>2</v>
      </c>
      <c r="N424" s="24" t="s">
        <v>77</v>
      </c>
      <c r="O424" s="24" t="s">
        <v>273</v>
      </c>
      <c r="P424" s="24" t="s">
        <v>241</v>
      </c>
      <c r="Q424" s="24" t="s">
        <v>287</v>
      </c>
      <c r="R424" s="24" t="s">
        <v>57</v>
      </c>
      <c r="S424" s="24" t="s">
        <v>29</v>
      </c>
      <c r="T424" s="24" t="s">
        <v>49</v>
      </c>
      <c r="U424" s="24" t="s">
        <v>113</v>
      </c>
    </row>
    <row r="425" spans="3:21" ht="21.9" customHeight="1" x14ac:dyDescent="0.3">
      <c r="C425" s="24">
        <v>119</v>
      </c>
      <c r="D425" s="45">
        <v>43916</v>
      </c>
      <c r="E425" s="24">
        <f t="shared" si="6"/>
        <v>3</v>
      </c>
      <c r="F425" s="46">
        <v>76</v>
      </c>
      <c r="G425" s="24" t="s">
        <v>87</v>
      </c>
      <c r="H425" s="24" t="s">
        <v>197</v>
      </c>
      <c r="I425" s="24" t="s">
        <v>208</v>
      </c>
      <c r="J425" s="24" t="s">
        <v>222</v>
      </c>
      <c r="K425" s="24" t="s">
        <v>226</v>
      </c>
      <c r="L425" s="24" t="s">
        <v>230</v>
      </c>
      <c r="M425" s="24">
        <v>1</v>
      </c>
      <c r="N425" s="24" t="s">
        <v>73</v>
      </c>
      <c r="O425" s="24" t="s">
        <v>268</v>
      </c>
      <c r="P425" s="24" t="s">
        <v>262</v>
      </c>
      <c r="Q425" s="24" t="s">
        <v>288</v>
      </c>
      <c r="R425" s="24" t="s">
        <v>63</v>
      </c>
      <c r="S425" s="24" t="s">
        <v>35</v>
      </c>
      <c r="T425" s="24" t="s">
        <v>45</v>
      </c>
      <c r="U425" s="24" t="s">
        <v>113</v>
      </c>
    </row>
    <row r="426" spans="3:21" ht="21.9" customHeight="1" x14ac:dyDescent="0.3">
      <c r="C426" s="24">
        <v>118</v>
      </c>
      <c r="D426" s="45">
        <v>43915</v>
      </c>
      <c r="E426" s="24">
        <f t="shared" si="6"/>
        <v>3</v>
      </c>
      <c r="F426" s="46">
        <v>1800</v>
      </c>
      <c r="G426" s="24" t="s">
        <v>86</v>
      </c>
      <c r="H426" s="24" t="s">
        <v>198</v>
      </c>
      <c r="I426" s="24" t="s">
        <v>207</v>
      </c>
      <c r="J426" s="24" t="s">
        <v>224</v>
      </c>
      <c r="K426" s="24" t="s">
        <v>228</v>
      </c>
      <c r="L426" s="24" t="s">
        <v>230</v>
      </c>
      <c r="M426" s="24">
        <v>3</v>
      </c>
      <c r="N426" s="24" t="s">
        <v>74</v>
      </c>
      <c r="O426" s="24" t="s">
        <v>270</v>
      </c>
      <c r="P426" s="24" t="s">
        <v>260</v>
      </c>
      <c r="Q426" s="24" t="s">
        <v>288</v>
      </c>
      <c r="R426" s="24" t="s">
        <v>454</v>
      </c>
      <c r="S426" s="24" t="s">
        <v>497</v>
      </c>
      <c r="T426" s="24" t="s">
        <v>253</v>
      </c>
      <c r="U426" s="24" t="s">
        <v>113</v>
      </c>
    </row>
    <row r="427" spans="3:21" ht="21.9" customHeight="1" x14ac:dyDescent="0.3">
      <c r="C427" s="24">
        <v>117</v>
      </c>
      <c r="D427" s="45">
        <v>43914</v>
      </c>
      <c r="E427" s="24">
        <f t="shared" si="6"/>
        <v>3</v>
      </c>
      <c r="F427" s="46">
        <v>510</v>
      </c>
      <c r="G427" s="24" t="s">
        <v>85</v>
      </c>
      <c r="H427" s="24" t="s">
        <v>199</v>
      </c>
      <c r="I427" s="24" t="s">
        <v>209</v>
      </c>
      <c r="J427" s="24" t="s">
        <v>216</v>
      </c>
      <c r="K427" s="24" t="s">
        <v>228</v>
      </c>
      <c r="L427" s="24" t="s">
        <v>221</v>
      </c>
      <c r="M427" s="24">
        <v>3</v>
      </c>
      <c r="N427" s="24" t="s">
        <v>72</v>
      </c>
      <c r="O427" s="24" t="s">
        <v>250</v>
      </c>
      <c r="P427" s="24" t="s">
        <v>253</v>
      </c>
      <c r="Q427" s="24" t="s">
        <v>384</v>
      </c>
      <c r="R427" s="24" t="s">
        <v>481</v>
      </c>
      <c r="S427" s="24" t="s">
        <v>501</v>
      </c>
      <c r="T427" s="24" t="s">
        <v>49</v>
      </c>
      <c r="U427" s="24" t="s">
        <v>115</v>
      </c>
    </row>
    <row r="428" spans="3:21" ht="21.9" customHeight="1" x14ac:dyDescent="0.3">
      <c r="C428" s="24">
        <v>116</v>
      </c>
      <c r="D428" s="45">
        <v>43913</v>
      </c>
      <c r="E428" s="24">
        <f t="shared" si="6"/>
        <v>3</v>
      </c>
      <c r="F428" s="46">
        <v>400</v>
      </c>
      <c r="G428" s="24" t="s">
        <v>84</v>
      </c>
      <c r="H428" s="24" t="s">
        <v>200</v>
      </c>
      <c r="I428" s="24" t="s">
        <v>208</v>
      </c>
      <c r="J428" s="24" t="s">
        <v>222</v>
      </c>
      <c r="K428" s="24" t="s">
        <v>228</v>
      </c>
      <c r="L428" s="24" t="s">
        <v>220</v>
      </c>
      <c r="M428" s="24">
        <v>1</v>
      </c>
      <c r="N428" s="24" t="s">
        <v>77</v>
      </c>
      <c r="O428" s="24" t="s">
        <v>273</v>
      </c>
      <c r="P428" s="24" t="s">
        <v>241</v>
      </c>
      <c r="Q428" s="24" t="s">
        <v>287</v>
      </c>
      <c r="R428" s="24" t="s">
        <v>343</v>
      </c>
      <c r="S428" s="24" t="s">
        <v>325</v>
      </c>
      <c r="T428" s="24" t="s">
        <v>45</v>
      </c>
      <c r="U428" s="24" t="s">
        <v>116</v>
      </c>
    </row>
    <row r="429" spans="3:21" ht="21.9" customHeight="1" x14ac:dyDescent="0.3">
      <c r="C429" s="24">
        <v>115</v>
      </c>
      <c r="D429" s="45">
        <v>43912</v>
      </c>
      <c r="E429" s="24">
        <f t="shared" si="6"/>
        <v>3</v>
      </c>
      <c r="F429" s="46">
        <v>1600</v>
      </c>
      <c r="G429" s="24" t="s">
        <v>83</v>
      </c>
      <c r="H429" s="24" t="s">
        <v>201</v>
      </c>
      <c r="I429" s="24" t="s">
        <v>208</v>
      </c>
      <c r="J429" s="24" t="s">
        <v>222</v>
      </c>
      <c r="K429" s="24" t="s">
        <v>226</v>
      </c>
      <c r="L429" s="24" t="s">
        <v>230</v>
      </c>
      <c r="M429" s="24">
        <v>2</v>
      </c>
      <c r="N429" s="24" t="s">
        <v>75</v>
      </c>
      <c r="O429" s="24" t="s">
        <v>26</v>
      </c>
      <c r="P429" s="24" t="s">
        <v>249</v>
      </c>
      <c r="Q429" s="24" t="s">
        <v>289</v>
      </c>
      <c r="R429" s="24" t="s">
        <v>337</v>
      </c>
      <c r="S429" s="24" t="s">
        <v>43</v>
      </c>
      <c r="T429" s="24" t="s">
        <v>49</v>
      </c>
      <c r="U429" s="24" t="s">
        <v>113</v>
      </c>
    </row>
    <row r="430" spans="3:21" ht="21.9" customHeight="1" x14ac:dyDescent="0.3">
      <c r="C430" s="24">
        <v>114</v>
      </c>
      <c r="D430" s="45">
        <v>43911</v>
      </c>
      <c r="E430" s="24">
        <f t="shared" si="6"/>
        <v>3</v>
      </c>
      <c r="F430" s="46">
        <v>800</v>
      </c>
      <c r="G430" s="24" t="s">
        <v>82</v>
      </c>
      <c r="H430" s="24" t="s">
        <v>202</v>
      </c>
      <c r="I430" s="24" t="s">
        <v>207</v>
      </c>
      <c r="J430" s="24" t="s">
        <v>222</v>
      </c>
      <c r="K430" s="24" t="s">
        <v>226</v>
      </c>
      <c r="L430" s="24" t="s">
        <v>230</v>
      </c>
      <c r="M430" s="24">
        <v>2</v>
      </c>
      <c r="N430" s="24" t="s">
        <v>51</v>
      </c>
      <c r="O430" s="24" t="s">
        <v>269</v>
      </c>
      <c r="P430" s="24" t="s">
        <v>262</v>
      </c>
      <c r="Q430" s="24" t="s">
        <v>288</v>
      </c>
      <c r="R430" s="24" t="s">
        <v>393</v>
      </c>
      <c r="S430" s="24" t="s">
        <v>486</v>
      </c>
      <c r="T430" s="24" t="s">
        <v>395</v>
      </c>
      <c r="U430" s="24" t="s">
        <v>113</v>
      </c>
    </row>
    <row r="431" spans="3:21" ht="21.9" customHeight="1" x14ac:dyDescent="0.3">
      <c r="C431" s="24">
        <v>113</v>
      </c>
      <c r="D431" s="45">
        <v>43910</v>
      </c>
      <c r="E431" s="24">
        <f t="shared" si="6"/>
        <v>3</v>
      </c>
      <c r="F431" s="46">
        <v>500</v>
      </c>
      <c r="G431" s="24" t="s">
        <v>81</v>
      </c>
      <c r="H431" s="24" t="s">
        <v>203</v>
      </c>
      <c r="I431" s="24" t="s">
        <v>207</v>
      </c>
      <c r="J431" s="24" t="s">
        <v>223</v>
      </c>
      <c r="K431" s="24" t="s">
        <v>226</v>
      </c>
      <c r="L431" s="24" t="s">
        <v>230</v>
      </c>
      <c r="M431" s="24">
        <v>2</v>
      </c>
      <c r="N431" s="24" t="s">
        <v>71</v>
      </c>
      <c r="O431" s="24" t="s">
        <v>271</v>
      </c>
      <c r="P431" s="24" t="s">
        <v>286</v>
      </c>
      <c r="Q431" s="24" t="s">
        <v>288</v>
      </c>
      <c r="R431" s="24" t="s">
        <v>70</v>
      </c>
      <c r="S431" s="24" t="s">
        <v>42</v>
      </c>
      <c r="T431" s="24" t="s">
        <v>47</v>
      </c>
      <c r="U431" s="24" t="s">
        <v>114</v>
      </c>
    </row>
    <row r="432" spans="3:21" ht="21.9" customHeight="1" x14ac:dyDescent="0.3">
      <c r="C432" s="24">
        <v>112</v>
      </c>
      <c r="D432" s="45">
        <v>43909</v>
      </c>
      <c r="E432" s="24">
        <f t="shared" si="6"/>
        <v>3</v>
      </c>
      <c r="F432" s="46">
        <v>80</v>
      </c>
      <c r="G432" s="24" t="s">
        <v>80</v>
      </c>
      <c r="H432" s="24" t="s">
        <v>204</v>
      </c>
      <c r="I432" s="24" t="s">
        <v>207</v>
      </c>
      <c r="J432" s="24" t="s">
        <v>221</v>
      </c>
      <c r="K432" s="24" t="s">
        <v>229</v>
      </c>
      <c r="L432" s="24" t="s">
        <v>221</v>
      </c>
      <c r="M432" s="24">
        <v>2</v>
      </c>
      <c r="N432" s="24" t="s">
        <v>75</v>
      </c>
      <c r="O432" s="24" t="s">
        <v>26</v>
      </c>
      <c r="P432" s="24" t="s">
        <v>249</v>
      </c>
      <c r="Q432" s="24" t="s">
        <v>289</v>
      </c>
      <c r="R432" s="24" t="s">
        <v>437</v>
      </c>
      <c r="S432" s="24" t="s">
        <v>494</v>
      </c>
      <c r="T432" s="24" t="s">
        <v>262</v>
      </c>
      <c r="U432" s="24" t="s">
        <v>113</v>
      </c>
    </row>
    <row r="433" spans="3:21" ht="21.9" customHeight="1" x14ac:dyDescent="0.3">
      <c r="C433" s="24">
        <v>111</v>
      </c>
      <c r="D433" s="45">
        <v>43908</v>
      </c>
      <c r="E433" s="24">
        <f t="shared" si="6"/>
        <v>3</v>
      </c>
      <c r="F433" s="46">
        <v>35</v>
      </c>
      <c r="G433" s="24" t="s">
        <v>79</v>
      </c>
      <c r="H433" s="24" t="s">
        <v>205</v>
      </c>
      <c r="I433" s="24" t="s">
        <v>207</v>
      </c>
      <c r="J433" s="24" t="s">
        <v>221</v>
      </c>
      <c r="K433" s="24" t="s">
        <v>229</v>
      </c>
      <c r="L433" s="24" t="s">
        <v>221</v>
      </c>
      <c r="M433" s="24">
        <v>1</v>
      </c>
      <c r="N433" s="24" t="s">
        <v>51</v>
      </c>
      <c r="O433" s="24" t="s">
        <v>269</v>
      </c>
      <c r="P433" s="24" t="s">
        <v>262</v>
      </c>
      <c r="Q433" s="24" t="s">
        <v>288</v>
      </c>
      <c r="R433" s="24" t="s">
        <v>342</v>
      </c>
      <c r="S433" s="24" t="s">
        <v>323</v>
      </c>
      <c r="T433" s="24" t="s">
        <v>46</v>
      </c>
      <c r="U433" s="24" t="s">
        <v>115</v>
      </c>
    </row>
    <row r="434" spans="3:21" ht="21.9" customHeight="1" x14ac:dyDescent="0.3">
      <c r="C434" s="24">
        <v>110</v>
      </c>
      <c r="D434" s="45">
        <v>43907</v>
      </c>
      <c r="E434" s="24">
        <f t="shared" si="6"/>
        <v>3</v>
      </c>
      <c r="F434" s="46">
        <v>90</v>
      </c>
      <c r="G434" s="24" t="s">
        <v>78</v>
      </c>
      <c r="H434" s="24" t="s">
        <v>206</v>
      </c>
      <c r="I434" s="24" t="s">
        <v>207</v>
      </c>
      <c r="J434" s="24" t="s">
        <v>221</v>
      </c>
      <c r="K434" s="24" t="s">
        <v>229</v>
      </c>
      <c r="L434" s="24" t="s">
        <v>221</v>
      </c>
      <c r="M434" s="24">
        <v>3</v>
      </c>
      <c r="N434" s="24" t="s">
        <v>72</v>
      </c>
      <c r="O434" s="24" t="s">
        <v>250</v>
      </c>
      <c r="P434" s="24" t="s">
        <v>253</v>
      </c>
      <c r="Q434" s="24" t="s">
        <v>384</v>
      </c>
      <c r="R434" s="24" t="s">
        <v>290</v>
      </c>
      <c r="S434" s="24" t="s">
        <v>296</v>
      </c>
      <c r="T434" s="24" t="s">
        <v>45</v>
      </c>
      <c r="U434" s="24" t="s">
        <v>113</v>
      </c>
    </row>
    <row r="435" spans="3:21" ht="21.9" customHeight="1" x14ac:dyDescent="0.3">
      <c r="C435" s="24">
        <v>109</v>
      </c>
      <c r="D435" s="45">
        <v>43906</v>
      </c>
      <c r="E435" s="24">
        <f t="shared" si="6"/>
        <v>3</v>
      </c>
      <c r="F435" s="46">
        <v>1600</v>
      </c>
      <c r="G435" s="24" t="s">
        <v>121</v>
      </c>
      <c r="H435" s="24" t="s">
        <v>183</v>
      </c>
      <c r="I435" s="24" t="s">
        <v>207</v>
      </c>
      <c r="J435" s="24" t="s">
        <v>210</v>
      </c>
      <c r="K435" s="24" t="s">
        <v>184</v>
      </c>
      <c r="L435" s="24" t="s">
        <v>230</v>
      </c>
      <c r="M435" s="24">
        <v>1</v>
      </c>
      <c r="N435" s="24" t="s">
        <v>76</v>
      </c>
      <c r="O435" s="24" t="s">
        <v>272</v>
      </c>
      <c r="P435" s="24" t="s">
        <v>245</v>
      </c>
      <c r="Q435" s="24" t="s">
        <v>288</v>
      </c>
      <c r="R435" s="24" t="s">
        <v>58</v>
      </c>
      <c r="S435" s="24" t="s">
        <v>30</v>
      </c>
      <c r="T435" s="24" t="s">
        <v>46</v>
      </c>
      <c r="U435" s="24" t="s">
        <v>116</v>
      </c>
    </row>
    <row r="436" spans="3:21" ht="21.9" customHeight="1" x14ac:dyDescent="0.3">
      <c r="C436" s="24">
        <v>108</v>
      </c>
      <c r="D436" s="45">
        <v>43905</v>
      </c>
      <c r="E436" s="24">
        <f t="shared" si="6"/>
        <v>3</v>
      </c>
      <c r="F436" s="46">
        <v>2800</v>
      </c>
      <c r="G436" s="24" t="s">
        <v>120</v>
      </c>
      <c r="H436" s="24" t="s">
        <v>185</v>
      </c>
      <c r="I436" s="24" t="s">
        <v>207</v>
      </c>
      <c r="J436" s="24" t="s">
        <v>210</v>
      </c>
      <c r="K436" s="24" t="s">
        <v>184</v>
      </c>
      <c r="L436" s="24" t="s">
        <v>230</v>
      </c>
      <c r="M436" s="24">
        <v>1</v>
      </c>
      <c r="N436" s="24" t="s">
        <v>77</v>
      </c>
      <c r="O436" s="24" t="s">
        <v>273</v>
      </c>
      <c r="P436" s="24" t="s">
        <v>241</v>
      </c>
      <c r="Q436" s="24" t="s">
        <v>287</v>
      </c>
      <c r="R436" s="24" t="s">
        <v>481</v>
      </c>
      <c r="S436" s="24" t="s">
        <v>501</v>
      </c>
      <c r="T436" s="24" t="s">
        <v>49</v>
      </c>
      <c r="U436" s="24" t="s">
        <v>115</v>
      </c>
    </row>
    <row r="437" spans="3:21" ht="21.9" customHeight="1" x14ac:dyDescent="0.3">
      <c r="C437" s="24">
        <v>107</v>
      </c>
      <c r="D437" s="45">
        <v>43904</v>
      </c>
      <c r="E437" s="24">
        <f t="shared" si="6"/>
        <v>3</v>
      </c>
      <c r="F437" s="46">
        <v>240</v>
      </c>
      <c r="G437" s="24" t="s">
        <v>97</v>
      </c>
      <c r="H437" s="24" t="s">
        <v>189</v>
      </c>
      <c r="I437" s="24" t="s">
        <v>207</v>
      </c>
      <c r="J437" s="24" t="s">
        <v>211</v>
      </c>
      <c r="K437" s="24" t="s">
        <v>227</v>
      </c>
      <c r="L437" s="24" t="s">
        <v>186</v>
      </c>
      <c r="M437" s="24">
        <v>3</v>
      </c>
      <c r="N437" s="24" t="s">
        <v>76</v>
      </c>
      <c r="O437" s="24" t="s">
        <v>272</v>
      </c>
      <c r="P437" s="24" t="s">
        <v>245</v>
      </c>
      <c r="Q437" s="24" t="s">
        <v>288</v>
      </c>
      <c r="R437" s="24" t="s">
        <v>393</v>
      </c>
      <c r="S437" s="24" t="s">
        <v>486</v>
      </c>
      <c r="T437" s="24" t="s">
        <v>395</v>
      </c>
      <c r="U437" s="24" t="s">
        <v>113</v>
      </c>
    </row>
    <row r="438" spans="3:21" ht="21.9" customHeight="1" x14ac:dyDescent="0.3">
      <c r="C438" s="24">
        <v>106</v>
      </c>
      <c r="D438" s="45">
        <v>43903</v>
      </c>
      <c r="E438" s="24">
        <f t="shared" si="6"/>
        <v>3</v>
      </c>
      <c r="F438" s="46">
        <v>180</v>
      </c>
      <c r="G438" s="24" t="s">
        <v>96</v>
      </c>
      <c r="H438" s="24" t="s">
        <v>190</v>
      </c>
      <c r="I438" s="24" t="s">
        <v>208</v>
      </c>
      <c r="J438" s="24" t="s">
        <v>212</v>
      </c>
      <c r="K438" s="24" t="s">
        <v>227</v>
      </c>
      <c r="L438" s="24" t="s">
        <v>223</v>
      </c>
      <c r="M438" s="24">
        <v>3</v>
      </c>
      <c r="N438" s="24" t="s">
        <v>51</v>
      </c>
      <c r="O438" s="24" t="s">
        <v>269</v>
      </c>
      <c r="P438" s="24" t="s">
        <v>262</v>
      </c>
      <c r="Q438" s="24" t="s">
        <v>288</v>
      </c>
      <c r="R438" s="24" t="s">
        <v>409</v>
      </c>
      <c r="S438" s="24" t="s">
        <v>489</v>
      </c>
      <c r="T438" s="24" t="s">
        <v>245</v>
      </c>
      <c r="U438" s="24" t="s">
        <v>113</v>
      </c>
    </row>
    <row r="439" spans="3:21" ht="21.9" customHeight="1" x14ac:dyDescent="0.3">
      <c r="C439" s="24">
        <v>105</v>
      </c>
      <c r="D439" s="45">
        <v>43902</v>
      </c>
      <c r="E439" s="24">
        <f t="shared" si="6"/>
        <v>3</v>
      </c>
      <c r="F439" s="46">
        <v>300</v>
      </c>
      <c r="G439" s="24" t="s">
        <v>95</v>
      </c>
      <c r="H439" s="24" t="s">
        <v>191</v>
      </c>
      <c r="I439" s="24" t="s">
        <v>207</v>
      </c>
      <c r="J439" s="24" t="s">
        <v>222</v>
      </c>
      <c r="K439" s="24" t="s">
        <v>226</v>
      </c>
      <c r="L439" s="24" t="s">
        <v>231</v>
      </c>
      <c r="M439" s="24">
        <v>3</v>
      </c>
      <c r="N439" s="24" t="s">
        <v>75</v>
      </c>
      <c r="O439" s="24" t="s">
        <v>26</v>
      </c>
      <c r="P439" s="24" t="s">
        <v>249</v>
      </c>
      <c r="Q439" s="24" t="s">
        <v>289</v>
      </c>
      <c r="R439" s="24" t="s">
        <v>431</v>
      </c>
      <c r="S439" s="24" t="s">
        <v>493</v>
      </c>
      <c r="T439" s="24" t="s">
        <v>434</v>
      </c>
      <c r="U439" s="24" t="s">
        <v>113</v>
      </c>
    </row>
    <row r="440" spans="3:21" ht="21.9" customHeight="1" x14ac:dyDescent="0.3">
      <c r="C440" s="24">
        <v>104</v>
      </c>
      <c r="D440" s="45">
        <v>43901</v>
      </c>
      <c r="E440" s="24">
        <f t="shared" si="6"/>
        <v>3</v>
      </c>
      <c r="F440" s="46">
        <v>900</v>
      </c>
      <c r="G440" s="24" t="s">
        <v>94</v>
      </c>
      <c r="H440" s="24" t="s">
        <v>192</v>
      </c>
      <c r="I440" s="24" t="s">
        <v>207</v>
      </c>
      <c r="J440" s="24" t="s">
        <v>216</v>
      </c>
      <c r="K440" s="24" t="s">
        <v>187</v>
      </c>
      <c r="L440" s="24" t="s">
        <v>232</v>
      </c>
      <c r="M440" s="24">
        <v>3</v>
      </c>
      <c r="N440" s="24" t="s">
        <v>51</v>
      </c>
      <c r="O440" s="24" t="s">
        <v>269</v>
      </c>
      <c r="P440" s="24" t="s">
        <v>262</v>
      </c>
      <c r="Q440" s="24" t="s">
        <v>288</v>
      </c>
      <c r="R440" s="24" t="s">
        <v>431</v>
      </c>
      <c r="S440" s="24" t="s">
        <v>493</v>
      </c>
      <c r="T440" s="24" t="s">
        <v>434</v>
      </c>
      <c r="U440" s="24" t="s">
        <v>113</v>
      </c>
    </row>
    <row r="441" spans="3:21" ht="21.9" customHeight="1" x14ac:dyDescent="0.3">
      <c r="C441" s="24">
        <v>103</v>
      </c>
      <c r="D441" s="45">
        <v>43900</v>
      </c>
      <c r="E441" s="24">
        <f t="shared" si="6"/>
        <v>3</v>
      </c>
      <c r="F441" s="46">
        <v>350</v>
      </c>
      <c r="G441" s="24" t="s">
        <v>93</v>
      </c>
      <c r="H441" s="24" t="s">
        <v>193</v>
      </c>
      <c r="I441" s="24" t="s">
        <v>208</v>
      </c>
      <c r="J441" s="24" t="s">
        <v>218</v>
      </c>
      <c r="K441" s="24" t="s">
        <v>187</v>
      </c>
      <c r="L441" s="24" t="s">
        <v>186</v>
      </c>
      <c r="M441" s="24">
        <v>1</v>
      </c>
      <c r="N441" s="24" t="s">
        <v>72</v>
      </c>
      <c r="O441" s="24" t="s">
        <v>250</v>
      </c>
      <c r="P441" s="24" t="s">
        <v>253</v>
      </c>
      <c r="Q441" s="24" t="s">
        <v>384</v>
      </c>
      <c r="R441" s="24" t="s">
        <v>404</v>
      </c>
      <c r="S441" s="24" t="s">
        <v>488</v>
      </c>
      <c r="T441" s="24" t="s">
        <v>241</v>
      </c>
      <c r="U441" s="24" t="s">
        <v>518</v>
      </c>
    </row>
    <row r="442" spans="3:21" ht="21.9" customHeight="1" x14ac:dyDescent="0.3">
      <c r="C442" s="24">
        <v>102</v>
      </c>
      <c r="D442" s="45">
        <v>43899</v>
      </c>
      <c r="E442" s="24">
        <f t="shared" si="6"/>
        <v>3</v>
      </c>
      <c r="F442" s="46">
        <v>270</v>
      </c>
      <c r="G442" s="24" t="s">
        <v>92</v>
      </c>
      <c r="H442" s="24" t="s">
        <v>225</v>
      </c>
      <c r="I442" s="24" t="s">
        <v>207</v>
      </c>
      <c r="J442" s="24" t="s">
        <v>219</v>
      </c>
      <c r="K442" s="24" t="s">
        <v>226</v>
      </c>
      <c r="L442" s="24" t="s">
        <v>186</v>
      </c>
      <c r="M442" s="24">
        <v>1</v>
      </c>
      <c r="N442" s="24" t="s">
        <v>71</v>
      </c>
      <c r="O442" s="24" t="s">
        <v>271</v>
      </c>
      <c r="P442" s="24" t="s">
        <v>286</v>
      </c>
      <c r="Q442" s="24" t="s">
        <v>288</v>
      </c>
      <c r="R442" s="24" t="s">
        <v>53</v>
      </c>
      <c r="S442" s="24" t="s">
        <v>25</v>
      </c>
      <c r="T442" s="24" t="s">
        <v>45</v>
      </c>
      <c r="U442" s="24" t="s">
        <v>113</v>
      </c>
    </row>
    <row r="443" spans="3:21" ht="21.9" customHeight="1" x14ac:dyDescent="0.3">
      <c r="C443" s="24">
        <v>101</v>
      </c>
      <c r="D443" s="45">
        <v>43898</v>
      </c>
      <c r="E443" s="24">
        <f t="shared" si="6"/>
        <v>3</v>
      </c>
      <c r="F443" s="46">
        <v>1500</v>
      </c>
      <c r="G443" s="24" t="s">
        <v>91</v>
      </c>
      <c r="H443" s="24" t="s">
        <v>194</v>
      </c>
      <c r="I443" s="24" t="s">
        <v>209</v>
      </c>
      <c r="J443" s="24" t="s">
        <v>219</v>
      </c>
      <c r="K443" s="24" t="s">
        <v>187</v>
      </c>
      <c r="L443" s="24" t="s">
        <v>186</v>
      </c>
      <c r="M443" s="24">
        <v>3</v>
      </c>
      <c r="N443" s="24" t="s">
        <v>73</v>
      </c>
      <c r="O443" s="24" t="s">
        <v>268</v>
      </c>
      <c r="P443" s="24" t="s">
        <v>262</v>
      </c>
      <c r="Q443" s="24" t="s">
        <v>288</v>
      </c>
      <c r="R443" s="24" t="s">
        <v>52</v>
      </c>
      <c r="S443" s="24" t="s">
        <v>24</v>
      </c>
      <c r="T443" s="24" t="s">
        <v>44</v>
      </c>
      <c r="U443" s="24" t="s">
        <v>113</v>
      </c>
    </row>
    <row r="444" spans="3:21" ht="21.9" customHeight="1" x14ac:dyDescent="0.3">
      <c r="C444" s="24">
        <v>100</v>
      </c>
      <c r="D444" s="45">
        <v>43897</v>
      </c>
      <c r="E444" s="24">
        <f t="shared" si="6"/>
        <v>3</v>
      </c>
      <c r="F444" s="46">
        <v>2700</v>
      </c>
      <c r="G444" s="24" t="s">
        <v>90</v>
      </c>
      <c r="H444" s="24" t="s">
        <v>188</v>
      </c>
      <c r="I444" s="24" t="s">
        <v>209</v>
      </c>
      <c r="J444" s="24" t="s">
        <v>220</v>
      </c>
      <c r="K444" s="24" t="s">
        <v>187</v>
      </c>
      <c r="L444" s="24" t="s">
        <v>220</v>
      </c>
      <c r="M444" s="24">
        <v>3</v>
      </c>
      <c r="N444" s="24" t="s">
        <v>73</v>
      </c>
      <c r="O444" s="24" t="s">
        <v>268</v>
      </c>
      <c r="P444" s="24" t="s">
        <v>262</v>
      </c>
      <c r="Q444" s="24" t="s">
        <v>288</v>
      </c>
      <c r="R444" s="24" t="s">
        <v>448</v>
      </c>
      <c r="S444" s="24" t="s">
        <v>496</v>
      </c>
      <c r="T444" s="24" t="s">
        <v>451</v>
      </c>
      <c r="U444" s="24" t="s">
        <v>113</v>
      </c>
    </row>
    <row r="445" spans="3:21" ht="21.9" customHeight="1" x14ac:dyDescent="0.3">
      <c r="C445" s="24">
        <v>99</v>
      </c>
      <c r="D445" s="45">
        <v>43896</v>
      </c>
      <c r="E445" s="24">
        <f t="shared" si="6"/>
        <v>3</v>
      </c>
      <c r="F445" s="46">
        <v>180</v>
      </c>
      <c r="G445" s="24" t="s">
        <v>89</v>
      </c>
      <c r="H445" s="24" t="s">
        <v>195</v>
      </c>
      <c r="I445" s="24" t="s">
        <v>207</v>
      </c>
      <c r="J445" s="24" t="s">
        <v>223</v>
      </c>
      <c r="K445" s="24" t="s">
        <v>226</v>
      </c>
      <c r="L445" s="24" t="s">
        <v>220</v>
      </c>
      <c r="M445" s="24">
        <v>3</v>
      </c>
      <c r="N445" s="24" t="s">
        <v>72</v>
      </c>
      <c r="O445" s="24" t="s">
        <v>250</v>
      </c>
      <c r="P445" s="24" t="s">
        <v>253</v>
      </c>
      <c r="Q445" s="24" t="s">
        <v>384</v>
      </c>
      <c r="R445" s="24" t="s">
        <v>414</v>
      </c>
      <c r="S445" s="24" t="s">
        <v>490</v>
      </c>
      <c r="T445" s="24" t="s">
        <v>46</v>
      </c>
      <c r="U445" s="24" t="s">
        <v>113</v>
      </c>
    </row>
    <row r="446" spans="3:21" ht="21.9" customHeight="1" x14ac:dyDescent="0.3">
      <c r="C446" s="24">
        <v>98</v>
      </c>
      <c r="D446" s="45">
        <v>43895</v>
      </c>
      <c r="E446" s="24">
        <f t="shared" si="6"/>
        <v>3</v>
      </c>
      <c r="F446" s="46">
        <v>210</v>
      </c>
      <c r="G446" s="24" t="s">
        <v>88</v>
      </c>
      <c r="H446" s="24" t="s">
        <v>196</v>
      </c>
      <c r="I446" s="24" t="s">
        <v>208</v>
      </c>
      <c r="J446" s="24" t="s">
        <v>216</v>
      </c>
      <c r="K446" s="24" t="s">
        <v>226</v>
      </c>
      <c r="L446" s="24" t="s">
        <v>230</v>
      </c>
      <c r="M446" s="24">
        <v>3</v>
      </c>
      <c r="N446" s="24" t="s">
        <v>72</v>
      </c>
      <c r="O446" s="24" t="s">
        <v>250</v>
      </c>
      <c r="P446" s="24" t="s">
        <v>253</v>
      </c>
      <c r="Q446" s="24" t="s">
        <v>384</v>
      </c>
      <c r="R446" s="24" t="s">
        <v>388</v>
      </c>
      <c r="S446" s="24" t="s">
        <v>485</v>
      </c>
      <c r="T446" s="24" t="s">
        <v>390</v>
      </c>
      <c r="U446" s="24" t="s">
        <v>113</v>
      </c>
    </row>
    <row r="447" spans="3:21" ht="21.9" customHeight="1" x14ac:dyDescent="0.3">
      <c r="C447" s="24">
        <v>97</v>
      </c>
      <c r="D447" s="45">
        <v>43894</v>
      </c>
      <c r="E447" s="24">
        <f t="shared" si="6"/>
        <v>3</v>
      </c>
      <c r="F447" s="46">
        <v>76</v>
      </c>
      <c r="G447" s="24" t="s">
        <v>87</v>
      </c>
      <c r="H447" s="24" t="s">
        <v>197</v>
      </c>
      <c r="I447" s="24" t="s">
        <v>208</v>
      </c>
      <c r="J447" s="24" t="s">
        <v>222</v>
      </c>
      <c r="K447" s="24" t="s">
        <v>226</v>
      </c>
      <c r="L447" s="24" t="s">
        <v>230</v>
      </c>
      <c r="M447" s="24">
        <v>1</v>
      </c>
      <c r="N447" s="24" t="s">
        <v>77</v>
      </c>
      <c r="O447" s="24" t="s">
        <v>273</v>
      </c>
      <c r="P447" s="24" t="s">
        <v>241</v>
      </c>
      <c r="Q447" s="24" t="s">
        <v>287</v>
      </c>
      <c r="R447" s="24" t="s">
        <v>459</v>
      </c>
      <c r="S447" s="24" t="s">
        <v>498</v>
      </c>
      <c r="T447" s="24" t="s">
        <v>462</v>
      </c>
      <c r="U447" s="24" t="s">
        <v>113</v>
      </c>
    </row>
    <row r="448" spans="3:21" ht="21.9" customHeight="1" x14ac:dyDescent="0.3">
      <c r="C448" s="24">
        <v>96</v>
      </c>
      <c r="D448" s="45">
        <v>43893</v>
      </c>
      <c r="E448" s="24">
        <f t="shared" si="6"/>
        <v>3</v>
      </c>
      <c r="F448" s="46">
        <v>1800</v>
      </c>
      <c r="G448" s="24" t="s">
        <v>86</v>
      </c>
      <c r="H448" s="24" t="s">
        <v>198</v>
      </c>
      <c r="I448" s="24" t="s">
        <v>207</v>
      </c>
      <c r="J448" s="24" t="s">
        <v>224</v>
      </c>
      <c r="K448" s="24" t="s">
        <v>228</v>
      </c>
      <c r="L448" s="24" t="s">
        <v>230</v>
      </c>
      <c r="M448" s="24">
        <v>3</v>
      </c>
      <c r="N448" s="24" t="s">
        <v>77</v>
      </c>
      <c r="O448" s="24" t="s">
        <v>273</v>
      </c>
      <c r="P448" s="24" t="s">
        <v>241</v>
      </c>
      <c r="Q448" s="24" t="s">
        <v>287</v>
      </c>
      <c r="R448" s="24" t="s">
        <v>346</v>
      </c>
      <c r="S448" s="24" t="s">
        <v>333</v>
      </c>
      <c r="T448" s="24" t="s">
        <v>47</v>
      </c>
      <c r="U448" s="24" t="s">
        <v>114</v>
      </c>
    </row>
    <row r="449" spans="3:21" ht="21.9" customHeight="1" x14ac:dyDescent="0.3">
      <c r="C449" s="24">
        <v>95</v>
      </c>
      <c r="D449" s="45">
        <v>43892</v>
      </c>
      <c r="E449" s="24">
        <f t="shared" si="6"/>
        <v>3</v>
      </c>
      <c r="F449" s="46">
        <v>170</v>
      </c>
      <c r="G449" s="24" t="s">
        <v>85</v>
      </c>
      <c r="H449" s="24" t="s">
        <v>199</v>
      </c>
      <c r="I449" s="24" t="s">
        <v>209</v>
      </c>
      <c r="J449" s="24" t="s">
        <v>216</v>
      </c>
      <c r="K449" s="24" t="s">
        <v>228</v>
      </c>
      <c r="L449" s="24" t="s">
        <v>221</v>
      </c>
      <c r="M449" s="24">
        <v>1</v>
      </c>
      <c r="N449" s="24" t="s">
        <v>75</v>
      </c>
      <c r="O449" s="24" t="s">
        <v>26</v>
      </c>
      <c r="P449" s="24" t="s">
        <v>249</v>
      </c>
      <c r="Q449" s="24" t="s">
        <v>289</v>
      </c>
      <c r="R449" s="24" t="s">
        <v>64</v>
      </c>
      <c r="S449" s="24" t="s">
        <v>36</v>
      </c>
      <c r="T449" s="24" t="s">
        <v>327</v>
      </c>
      <c r="U449" s="24" t="s">
        <v>114</v>
      </c>
    </row>
    <row r="450" spans="3:21" ht="21.9" customHeight="1" x14ac:dyDescent="0.3">
      <c r="C450" s="24">
        <v>94</v>
      </c>
      <c r="D450" s="45">
        <v>43891</v>
      </c>
      <c r="E450" s="24">
        <f t="shared" si="6"/>
        <v>3</v>
      </c>
      <c r="F450" s="46">
        <v>1200</v>
      </c>
      <c r="G450" s="24" t="s">
        <v>84</v>
      </c>
      <c r="H450" s="24" t="s">
        <v>200</v>
      </c>
      <c r="I450" s="24" t="s">
        <v>208</v>
      </c>
      <c r="J450" s="24" t="s">
        <v>222</v>
      </c>
      <c r="K450" s="24" t="s">
        <v>228</v>
      </c>
      <c r="L450" s="24" t="s">
        <v>220</v>
      </c>
      <c r="M450" s="24">
        <v>3</v>
      </c>
      <c r="N450" s="24" t="s">
        <v>71</v>
      </c>
      <c r="O450" s="24" t="s">
        <v>271</v>
      </c>
      <c r="P450" s="24" t="s">
        <v>286</v>
      </c>
      <c r="Q450" s="24" t="s">
        <v>288</v>
      </c>
      <c r="R450" s="24" t="s">
        <v>70</v>
      </c>
      <c r="S450" s="24" t="s">
        <v>42</v>
      </c>
      <c r="T450" s="24" t="s">
        <v>47</v>
      </c>
      <c r="U450" s="24" t="s">
        <v>114</v>
      </c>
    </row>
    <row r="451" spans="3:21" ht="21.9" customHeight="1" x14ac:dyDescent="0.3">
      <c r="C451" s="24">
        <v>93</v>
      </c>
      <c r="D451" s="45">
        <v>43896</v>
      </c>
      <c r="E451" s="24">
        <f t="shared" si="6"/>
        <v>3</v>
      </c>
      <c r="F451" s="46">
        <v>1600</v>
      </c>
      <c r="G451" s="24" t="s">
        <v>83</v>
      </c>
      <c r="H451" s="24" t="s">
        <v>201</v>
      </c>
      <c r="I451" s="24" t="s">
        <v>208</v>
      </c>
      <c r="J451" s="24" t="s">
        <v>222</v>
      </c>
      <c r="K451" s="24" t="s">
        <v>226</v>
      </c>
      <c r="L451" s="24" t="s">
        <v>230</v>
      </c>
      <c r="M451" s="24">
        <v>2</v>
      </c>
      <c r="N451" s="24" t="s">
        <v>380</v>
      </c>
      <c r="O451" s="24" t="s">
        <v>381</v>
      </c>
      <c r="P451" s="24" t="s">
        <v>46</v>
      </c>
      <c r="Q451" s="24" t="s">
        <v>384</v>
      </c>
      <c r="R451" s="24" t="s">
        <v>341</v>
      </c>
      <c r="S451" s="24" t="s">
        <v>320</v>
      </c>
      <c r="T451" s="24" t="s">
        <v>49</v>
      </c>
      <c r="U451" s="24" t="s">
        <v>113</v>
      </c>
    </row>
    <row r="452" spans="3:21" ht="21.9" customHeight="1" x14ac:dyDescent="0.3">
      <c r="C452" s="24">
        <v>92</v>
      </c>
      <c r="D452" s="45">
        <v>43895</v>
      </c>
      <c r="E452" s="24">
        <f t="shared" si="6"/>
        <v>3</v>
      </c>
      <c r="F452" s="46">
        <v>800</v>
      </c>
      <c r="G452" s="24" t="s">
        <v>82</v>
      </c>
      <c r="H452" s="24" t="s">
        <v>202</v>
      </c>
      <c r="I452" s="24" t="s">
        <v>207</v>
      </c>
      <c r="J452" s="24" t="s">
        <v>222</v>
      </c>
      <c r="K452" s="24" t="s">
        <v>226</v>
      </c>
      <c r="L452" s="24" t="s">
        <v>230</v>
      </c>
      <c r="M452" s="24">
        <v>2</v>
      </c>
      <c r="N452" s="24" t="s">
        <v>75</v>
      </c>
      <c r="O452" s="24" t="s">
        <v>26</v>
      </c>
      <c r="P452" s="24" t="s">
        <v>249</v>
      </c>
      <c r="Q452" s="24" t="s">
        <v>289</v>
      </c>
      <c r="R452" s="24" t="s">
        <v>59</v>
      </c>
      <c r="S452" s="24" t="s">
        <v>31</v>
      </c>
      <c r="T452" s="24" t="s">
        <v>327</v>
      </c>
      <c r="U452" s="24" t="s">
        <v>114</v>
      </c>
    </row>
    <row r="453" spans="3:21" ht="21.9" customHeight="1" x14ac:dyDescent="0.3">
      <c r="C453" s="24">
        <v>91</v>
      </c>
      <c r="D453" s="45">
        <v>43894</v>
      </c>
      <c r="E453" s="24">
        <f t="shared" si="6"/>
        <v>3</v>
      </c>
      <c r="F453" s="46">
        <v>750</v>
      </c>
      <c r="G453" s="24" t="s">
        <v>81</v>
      </c>
      <c r="H453" s="24" t="s">
        <v>203</v>
      </c>
      <c r="I453" s="24" t="s">
        <v>207</v>
      </c>
      <c r="J453" s="24" t="s">
        <v>223</v>
      </c>
      <c r="K453" s="24" t="s">
        <v>226</v>
      </c>
      <c r="L453" s="24" t="s">
        <v>230</v>
      </c>
      <c r="M453" s="24">
        <v>3</v>
      </c>
      <c r="N453" s="24" t="s">
        <v>51</v>
      </c>
      <c r="O453" s="24" t="s">
        <v>269</v>
      </c>
      <c r="P453" s="24" t="s">
        <v>262</v>
      </c>
      <c r="Q453" s="24" t="s">
        <v>288</v>
      </c>
      <c r="R453" s="24" t="s">
        <v>54</v>
      </c>
      <c r="S453" s="24" t="s">
        <v>26</v>
      </c>
      <c r="T453" s="24" t="s">
        <v>46</v>
      </c>
      <c r="U453" s="24" t="s">
        <v>114</v>
      </c>
    </row>
    <row r="454" spans="3:21" ht="21.9" customHeight="1" x14ac:dyDescent="0.3">
      <c r="C454" s="24">
        <v>90</v>
      </c>
      <c r="D454" s="45">
        <v>43893</v>
      </c>
      <c r="E454" s="24">
        <f t="shared" si="6"/>
        <v>3</v>
      </c>
      <c r="F454" s="46">
        <v>40</v>
      </c>
      <c r="G454" s="24" t="s">
        <v>80</v>
      </c>
      <c r="H454" s="24" t="s">
        <v>204</v>
      </c>
      <c r="I454" s="24" t="s">
        <v>207</v>
      </c>
      <c r="J454" s="24" t="s">
        <v>221</v>
      </c>
      <c r="K454" s="24" t="s">
        <v>229</v>
      </c>
      <c r="L454" s="24" t="s">
        <v>221</v>
      </c>
      <c r="M454" s="24">
        <v>1</v>
      </c>
      <c r="N454" s="24" t="s">
        <v>75</v>
      </c>
      <c r="O454" s="24" t="s">
        <v>26</v>
      </c>
      <c r="P454" s="24" t="s">
        <v>249</v>
      </c>
      <c r="Q454" s="24" t="s">
        <v>289</v>
      </c>
      <c r="R454" s="24" t="s">
        <v>68</v>
      </c>
      <c r="S454" s="24" t="s">
        <v>40</v>
      </c>
      <c r="T454" s="24" t="s">
        <v>46</v>
      </c>
      <c r="U454" s="24" t="s">
        <v>115</v>
      </c>
    </row>
    <row r="455" spans="3:21" ht="21.9" customHeight="1" x14ac:dyDescent="0.3">
      <c r="C455" s="24">
        <v>89</v>
      </c>
      <c r="D455" s="45">
        <v>43892</v>
      </c>
      <c r="E455" s="24">
        <f t="shared" si="6"/>
        <v>3</v>
      </c>
      <c r="F455" s="46">
        <v>105</v>
      </c>
      <c r="G455" s="24" t="s">
        <v>79</v>
      </c>
      <c r="H455" s="24" t="s">
        <v>205</v>
      </c>
      <c r="I455" s="24" t="s">
        <v>207</v>
      </c>
      <c r="J455" s="24" t="s">
        <v>221</v>
      </c>
      <c r="K455" s="24" t="s">
        <v>229</v>
      </c>
      <c r="L455" s="24" t="s">
        <v>221</v>
      </c>
      <c r="M455" s="24">
        <v>3</v>
      </c>
      <c r="N455" s="24" t="s">
        <v>73</v>
      </c>
      <c r="O455" s="24" t="s">
        <v>268</v>
      </c>
      <c r="P455" s="24" t="s">
        <v>262</v>
      </c>
      <c r="Q455" s="24" t="s">
        <v>288</v>
      </c>
      <c r="R455" s="24" t="s">
        <v>437</v>
      </c>
      <c r="S455" s="24" t="s">
        <v>494</v>
      </c>
      <c r="T455" s="24" t="s">
        <v>262</v>
      </c>
      <c r="U455" s="24" t="s">
        <v>113</v>
      </c>
    </row>
    <row r="456" spans="3:21" ht="21.9" customHeight="1" x14ac:dyDescent="0.3">
      <c r="C456" s="24">
        <v>88</v>
      </c>
      <c r="D456" s="45">
        <v>43891</v>
      </c>
      <c r="E456" s="24">
        <f t="shared" si="6"/>
        <v>3</v>
      </c>
      <c r="F456" s="46">
        <v>30</v>
      </c>
      <c r="G456" s="24" t="s">
        <v>78</v>
      </c>
      <c r="H456" s="24" t="s">
        <v>206</v>
      </c>
      <c r="I456" s="24" t="s">
        <v>207</v>
      </c>
      <c r="J456" s="24" t="s">
        <v>221</v>
      </c>
      <c r="K456" s="24" t="s">
        <v>229</v>
      </c>
      <c r="L456" s="24" t="s">
        <v>221</v>
      </c>
      <c r="M456" s="24">
        <v>1</v>
      </c>
      <c r="N456" s="24" t="s">
        <v>73</v>
      </c>
      <c r="O456" s="24" t="s">
        <v>268</v>
      </c>
      <c r="P456" s="24" t="s">
        <v>262</v>
      </c>
      <c r="Q456" s="24" t="s">
        <v>288</v>
      </c>
      <c r="R456" s="24" t="s">
        <v>425</v>
      </c>
      <c r="S456" s="24" t="s">
        <v>492</v>
      </c>
      <c r="T456" s="24" t="s">
        <v>428</v>
      </c>
      <c r="U456" s="24" t="s">
        <v>113</v>
      </c>
    </row>
    <row r="457" spans="3:21" ht="21.9" customHeight="1" x14ac:dyDescent="0.3">
      <c r="C457" s="24">
        <v>87</v>
      </c>
      <c r="D457" s="45">
        <v>43878</v>
      </c>
      <c r="E457" s="24">
        <f t="shared" si="6"/>
        <v>2</v>
      </c>
      <c r="F457" s="46">
        <v>70</v>
      </c>
      <c r="G457" s="24" t="s">
        <v>79</v>
      </c>
      <c r="H457" s="24" t="s">
        <v>205</v>
      </c>
      <c r="I457" s="24" t="s">
        <v>207</v>
      </c>
      <c r="J457" s="24" t="s">
        <v>221</v>
      </c>
      <c r="K457" s="24" t="s">
        <v>229</v>
      </c>
      <c r="L457" s="24" t="s">
        <v>221</v>
      </c>
      <c r="M457" s="24">
        <v>2</v>
      </c>
      <c r="N457" s="24" t="s">
        <v>71</v>
      </c>
      <c r="O457" s="24" t="s">
        <v>271</v>
      </c>
      <c r="P457" s="24" t="s">
        <v>286</v>
      </c>
      <c r="Q457" s="24" t="s">
        <v>288</v>
      </c>
      <c r="R457" s="24" t="s">
        <v>437</v>
      </c>
      <c r="S457" s="24" t="s">
        <v>494</v>
      </c>
      <c r="T457" s="24" t="s">
        <v>262</v>
      </c>
      <c r="U457" s="24" t="s">
        <v>113</v>
      </c>
    </row>
    <row r="458" spans="3:21" ht="21.9" customHeight="1" x14ac:dyDescent="0.3">
      <c r="C458" s="24">
        <v>86</v>
      </c>
      <c r="D458" s="45">
        <v>43877</v>
      </c>
      <c r="E458" s="24">
        <f t="shared" si="6"/>
        <v>2</v>
      </c>
      <c r="F458" s="46">
        <v>60</v>
      </c>
      <c r="G458" s="24" t="s">
        <v>78</v>
      </c>
      <c r="H458" s="24" t="s">
        <v>206</v>
      </c>
      <c r="I458" s="24" t="s">
        <v>207</v>
      </c>
      <c r="J458" s="24" t="s">
        <v>221</v>
      </c>
      <c r="K458" s="24" t="s">
        <v>229</v>
      </c>
      <c r="L458" s="24" t="s">
        <v>221</v>
      </c>
      <c r="M458" s="24">
        <v>2</v>
      </c>
      <c r="N458" s="24" t="s">
        <v>72</v>
      </c>
      <c r="O458" s="24" t="s">
        <v>250</v>
      </c>
      <c r="P458" s="24" t="s">
        <v>253</v>
      </c>
      <c r="Q458" s="24" t="s">
        <v>384</v>
      </c>
      <c r="R458" s="24" t="s">
        <v>398</v>
      </c>
      <c r="S458" s="24" t="s">
        <v>487</v>
      </c>
      <c r="T458" s="24" t="s">
        <v>401</v>
      </c>
      <c r="U458" s="24" t="s">
        <v>113</v>
      </c>
    </row>
    <row r="459" spans="3:21" ht="21.9" customHeight="1" x14ac:dyDescent="0.3">
      <c r="C459" s="24">
        <v>85</v>
      </c>
      <c r="D459" s="45">
        <v>43876</v>
      </c>
      <c r="E459" s="24">
        <f t="shared" si="6"/>
        <v>2</v>
      </c>
      <c r="F459" s="46">
        <v>1600</v>
      </c>
      <c r="G459" s="24" t="s">
        <v>121</v>
      </c>
      <c r="H459" s="24" t="s">
        <v>183</v>
      </c>
      <c r="I459" s="24" t="s">
        <v>207</v>
      </c>
      <c r="J459" s="24" t="s">
        <v>210</v>
      </c>
      <c r="K459" s="24" t="s">
        <v>184</v>
      </c>
      <c r="L459" s="24" t="s">
        <v>230</v>
      </c>
      <c r="M459" s="24">
        <v>1</v>
      </c>
      <c r="N459" s="24" t="s">
        <v>72</v>
      </c>
      <c r="O459" s="24" t="s">
        <v>250</v>
      </c>
      <c r="P459" s="24" t="s">
        <v>253</v>
      </c>
      <c r="Q459" s="24" t="s">
        <v>384</v>
      </c>
      <c r="R459" s="24" t="s">
        <v>68</v>
      </c>
      <c r="S459" s="24" t="s">
        <v>40</v>
      </c>
      <c r="T459" s="24" t="s">
        <v>46</v>
      </c>
      <c r="U459" s="24" t="s">
        <v>115</v>
      </c>
    </row>
    <row r="460" spans="3:21" ht="21.9" customHeight="1" x14ac:dyDescent="0.3">
      <c r="C460" s="24">
        <v>84</v>
      </c>
      <c r="D460" s="45">
        <v>43875</v>
      </c>
      <c r="E460" s="24">
        <f t="shared" si="6"/>
        <v>2</v>
      </c>
      <c r="F460" s="46">
        <v>5600</v>
      </c>
      <c r="G460" s="24" t="s">
        <v>120</v>
      </c>
      <c r="H460" s="24" t="s">
        <v>185</v>
      </c>
      <c r="I460" s="24" t="s">
        <v>207</v>
      </c>
      <c r="J460" s="24" t="s">
        <v>210</v>
      </c>
      <c r="K460" s="24" t="s">
        <v>184</v>
      </c>
      <c r="L460" s="24" t="s">
        <v>230</v>
      </c>
      <c r="M460" s="24">
        <v>2</v>
      </c>
      <c r="N460" s="24" t="s">
        <v>73</v>
      </c>
      <c r="O460" s="24" t="s">
        <v>268</v>
      </c>
      <c r="P460" s="24" t="s">
        <v>262</v>
      </c>
      <c r="Q460" s="24" t="s">
        <v>288</v>
      </c>
      <c r="R460" s="24" t="s">
        <v>431</v>
      </c>
      <c r="S460" s="24" t="s">
        <v>493</v>
      </c>
      <c r="T460" s="24" t="s">
        <v>434</v>
      </c>
      <c r="U460" s="24" t="s">
        <v>113</v>
      </c>
    </row>
    <row r="461" spans="3:21" ht="21.9" customHeight="1" x14ac:dyDescent="0.3">
      <c r="C461" s="24">
        <v>83</v>
      </c>
      <c r="D461" s="45">
        <v>43874</v>
      </c>
      <c r="E461" s="24">
        <f t="shared" si="6"/>
        <v>2</v>
      </c>
      <c r="F461" s="46">
        <v>240</v>
      </c>
      <c r="G461" s="24" t="s">
        <v>97</v>
      </c>
      <c r="H461" s="24" t="s">
        <v>189</v>
      </c>
      <c r="I461" s="24" t="s">
        <v>207</v>
      </c>
      <c r="J461" s="24" t="s">
        <v>211</v>
      </c>
      <c r="K461" s="24" t="s">
        <v>227</v>
      </c>
      <c r="L461" s="24" t="s">
        <v>186</v>
      </c>
      <c r="M461" s="24">
        <v>3</v>
      </c>
      <c r="N461" s="24" t="s">
        <v>76</v>
      </c>
      <c r="O461" s="24" t="s">
        <v>272</v>
      </c>
      <c r="P461" s="24" t="s">
        <v>245</v>
      </c>
      <c r="Q461" s="24" t="s">
        <v>288</v>
      </c>
      <c r="R461" s="24" t="s">
        <v>54</v>
      </c>
      <c r="S461" s="24" t="s">
        <v>26</v>
      </c>
      <c r="T461" s="24" t="s">
        <v>46</v>
      </c>
      <c r="U461" s="24" t="s">
        <v>114</v>
      </c>
    </row>
    <row r="462" spans="3:21" ht="21.9" customHeight="1" x14ac:dyDescent="0.3">
      <c r="C462" s="24">
        <v>82</v>
      </c>
      <c r="D462" s="45">
        <v>43873</v>
      </c>
      <c r="E462" s="24">
        <f t="shared" si="6"/>
        <v>2</v>
      </c>
      <c r="F462" s="46">
        <v>60</v>
      </c>
      <c r="G462" s="24" t="s">
        <v>96</v>
      </c>
      <c r="H462" s="24" t="s">
        <v>190</v>
      </c>
      <c r="I462" s="24" t="s">
        <v>208</v>
      </c>
      <c r="J462" s="24" t="s">
        <v>212</v>
      </c>
      <c r="K462" s="24" t="s">
        <v>227</v>
      </c>
      <c r="L462" s="24" t="s">
        <v>223</v>
      </c>
      <c r="M462" s="24">
        <v>1</v>
      </c>
      <c r="N462" s="24" t="s">
        <v>75</v>
      </c>
      <c r="O462" s="24" t="s">
        <v>26</v>
      </c>
      <c r="P462" s="24" t="s">
        <v>249</v>
      </c>
      <c r="Q462" s="24" t="s">
        <v>289</v>
      </c>
      <c r="R462" s="24" t="s">
        <v>59</v>
      </c>
      <c r="S462" s="24" t="s">
        <v>31</v>
      </c>
      <c r="T462" s="24" t="s">
        <v>327</v>
      </c>
      <c r="U462" s="24" t="s">
        <v>114</v>
      </c>
    </row>
    <row r="463" spans="3:21" ht="21.9" customHeight="1" x14ac:dyDescent="0.3">
      <c r="C463" s="24">
        <v>81</v>
      </c>
      <c r="D463" s="45">
        <v>43872</v>
      </c>
      <c r="E463" s="24">
        <f t="shared" si="6"/>
        <v>2</v>
      </c>
      <c r="F463" s="46">
        <v>100</v>
      </c>
      <c r="G463" s="24" t="s">
        <v>95</v>
      </c>
      <c r="H463" s="24" t="s">
        <v>191</v>
      </c>
      <c r="I463" s="24" t="s">
        <v>207</v>
      </c>
      <c r="J463" s="24" t="s">
        <v>222</v>
      </c>
      <c r="K463" s="24" t="s">
        <v>226</v>
      </c>
      <c r="L463" s="24" t="s">
        <v>231</v>
      </c>
      <c r="M463" s="24">
        <v>1</v>
      </c>
      <c r="N463" s="24" t="s">
        <v>71</v>
      </c>
      <c r="O463" s="24" t="s">
        <v>271</v>
      </c>
      <c r="P463" s="24" t="s">
        <v>286</v>
      </c>
      <c r="Q463" s="24" t="s">
        <v>288</v>
      </c>
      <c r="R463" s="24" t="s">
        <v>470</v>
      </c>
      <c r="S463" s="24" t="s">
        <v>500</v>
      </c>
      <c r="T463" s="24" t="s">
        <v>473</v>
      </c>
      <c r="U463" s="24" t="s">
        <v>113</v>
      </c>
    </row>
    <row r="464" spans="3:21" ht="21.9" customHeight="1" x14ac:dyDescent="0.3">
      <c r="C464" s="24">
        <v>80</v>
      </c>
      <c r="D464" s="45">
        <v>43871</v>
      </c>
      <c r="E464" s="24">
        <f t="shared" si="6"/>
        <v>2</v>
      </c>
      <c r="F464" s="46">
        <v>300</v>
      </c>
      <c r="G464" s="24" t="s">
        <v>94</v>
      </c>
      <c r="H464" s="24" t="s">
        <v>192</v>
      </c>
      <c r="I464" s="24" t="s">
        <v>207</v>
      </c>
      <c r="J464" s="24" t="s">
        <v>216</v>
      </c>
      <c r="K464" s="24" t="s">
        <v>187</v>
      </c>
      <c r="L464" s="24" t="s">
        <v>232</v>
      </c>
      <c r="M464" s="24">
        <v>1</v>
      </c>
      <c r="N464" s="24" t="s">
        <v>77</v>
      </c>
      <c r="O464" s="24" t="s">
        <v>273</v>
      </c>
      <c r="P464" s="24" t="s">
        <v>241</v>
      </c>
      <c r="Q464" s="24" t="s">
        <v>287</v>
      </c>
      <c r="R464" s="24" t="s">
        <v>347</v>
      </c>
      <c r="S464" s="24" t="s">
        <v>335</v>
      </c>
      <c r="T464" s="24" t="s">
        <v>49</v>
      </c>
      <c r="U464" s="24" t="s">
        <v>113</v>
      </c>
    </row>
    <row r="465" spans="3:21" ht="21.9" customHeight="1" x14ac:dyDescent="0.3">
      <c r="C465" s="24">
        <v>79</v>
      </c>
      <c r="D465" s="45">
        <v>43870</v>
      </c>
      <c r="E465" s="24">
        <f t="shared" si="6"/>
        <v>2</v>
      </c>
      <c r="F465" s="46">
        <v>1050</v>
      </c>
      <c r="G465" s="24" t="s">
        <v>93</v>
      </c>
      <c r="H465" s="24" t="s">
        <v>193</v>
      </c>
      <c r="I465" s="24" t="s">
        <v>208</v>
      </c>
      <c r="J465" s="24" t="s">
        <v>218</v>
      </c>
      <c r="K465" s="24" t="s">
        <v>187</v>
      </c>
      <c r="L465" s="24" t="s">
        <v>186</v>
      </c>
      <c r="M465" s="24">
        <v>3</v>
      </c>
      <c r="N465" s="24" t="s">
        <v>75</v>
      </c>
      <c r="O465" s="24" t="s">
        <v>26</v>
      </c>
      <c r="P465" s="24" t="s">
        <v>249</v>
      </c>
      <c r="Q465" s="24" t="s">
        <v>289</v>
      </c>
      <c r="R465" s="24" t="s">
        <v>342</v>
      </c>
      <c r="S465" s="24" t="s">
        <v>323</v>
      </c>
      <c r="T465" s="24" t="s">
        <v>46</v>
      </c>
      <c r="U465" s="24" t="s">
        <v>115</v>
      </c>
    </row>
    <row r="466" spans="3:21" ht="21.9" customHeight="1" x14ac:dyDescent="0.3">
      <c r="C466" s="24">
        <v>78</v>
      </c>
      <c r="D466" s="45">
        <v>43869</v>
      </c>
      <c r="E466" s="24">
        <f t="shared" si="6"/>
        <v>2</v>
      </c>
      <c r="F466" s="46">
        <v>540</v>
      </c>
      <c r="G466" s="24" t="s">
        <v>92</v>
      </c>
      <c r="H466" s="24" t="s">
        <v>225</v>
      </c>
      <c r="I466" s="24" t="s">
        <v>207</v>
      </c>
      <c r="J466" s="24" t="s">
        <v>219</v>
      </c>
      <c r="K466" s="24" t="s">
        <v>226</v>
      </c>
      <c r="L466" s="24" t="s">
        <v>186</v>
      </c>
      <c r="M466" s="24">
        <v>2</v>
      </c>
      <c r="N466" s="24" t="s">
        <v>75</v>
      </c>
      <c r="O466" s="24" t="s">
        <v>26</v>
      </c>
      <c r="P466" s="24" t="s">
        <v>249</v>
      </c>
      <c r="Q466" s="24" t="s">
        <v>289</v>
      </c>
      <c r="R466" s="24" t="s">
        <v>338</v>
      </c>
      <c r="S466" s="24" t="s">
        <v>311</v>
      </c>
      <c r="T466" s="24" t="s">
        <v>47</v>
      </c>
      <c r="U466" s="24" t="s">
        <v>115</v>
      </c>
    </row>
    <row r="467" spans="3:21" ht="21.9" customHeight="1" x14ac:dyDescent="0.3">
      <c r="C467" s="24">
        <v>77</v>
      </c>
      <c r="D467" s="45">
        <v>43868</v>
      </c>
      <c r="E467" s="24">
        <f t="shared" si="6"/>
        <v>2</v>
      </c>
      <c r="F467" s="46">
        <v>1500</v>
      </c>
      <c r="G467" s="24" t="s">
        <v>91</v>
      </c>
      <c r="H467" s="24" t="s">
        <v>194</v>
      </c>
      <c r="I467" s="24" t="s">
        <v>209</v>
      </c>
      <c r="J467" s="24" t="s">
        <v>219</v>
      </c>
      <c r="K467" s="24" t="s">
        <v>187</v>
      </c>
      <c r="L467" s="24" t="s">
        <v>186</v>
      </c>
      <c r="M467" s="24">
        <v>3</v>
      </c>
      <c r="N467" s="24" t="s">
        <v>73</v>
      </c>
      <c r="O467" s="24" t="s">
        <v>268</v>
      </c>
      <c r="P467" s="24" t="s">
        <v>262</v>
      </c>
      <c r="Q467" s="24" t="s">
        <v>288</v>
      </c>
      <c r="R467" s="24" t="s">
        <v>437</v>
      </c>
      <c r="S467" s="24" t="s">
        <v>494</v>
      </c>
      <c r="T467" s="24" t="s">
        <v>262</v>
      </c>
      <c r="U467" s="24" t="s">
        <v>113</v>
      </c>
    </row>
    <row r="468" spans="3:21" ht="21.9" customHeight="1" x14ac:dyDescent="0.3">
      <c r="C468" s="24">
        <v>76</v>
      </c>
      <c r="D468" s="45">
        <v>43867</v>
      </c>
      <c r="E468" s="24">
        <f t="shared" si="6"/>
        <v>2</v>
      </c>
      <c r="F468" s="46">
        <v>2700</v>
      </c>
      <c r="G468" s="24" t="s">
        <v>90</v>
      </c>
      <c r="H468" s="24" t="s">
        <v>188</v>
      </c>
      <c r="I468" s="24" t="s">
        <v>209</v>
      </c>
      <c r="J468" s="24" t="s">
        <v>220</v>
      </c>
      <c r="K468" s="24" t="s">
        <v>187</v>
      </c>
      <c r="L468" s="24" t="s">
        <v>220</v>
      </c>
      <c r="M468" s="24">
        <v>3</v>
      </c>
      <c r="N468" s="24" t="s">
        <v>75</v>
      </c>
      <c r="O468" s="24" t="s">
        <v>26</v>
      </c>
      <c r="P468" s="24" t="s">
        <v>249</v>
      </c>
      <c r="Q468" s="24" t="s">
        <v>289</v>
      </c>
      <c r="R468" s="24" t="s">
        <v>388</v>
      </c>
      <c r="S468" s="24" t="s">
        <v>485</v>
      </c>
      <c r="T468" s="24" t="s">
        <v>390</v>
      </c>
      <c r="U468" s="24" t="s">
        <v>113</v>
      </c>
    </row>
    <row r="469" spans="3:21" ht="21.9" customHeight="1" x14ac:dyDescent="0.3">
      <c r="C469" s="24">
        <v>75</v>
      </c>
      <c r="D469" s="45">
        <v>43866</v>
      </c>
      <c r="E469" s="24">
        <f t="shared" si="6"/>
        <v>2</v>
      </c>
      <c r="F469" s="46">
        <v>120</v>
      </c>
      <c r="G469" s="24" t="s">
        <v>89</v>
      </c>
      <c r="H469" s="24" t="s">
        <v>195</v>
      </c>
      <c r="I469" s="24" t="s">
        <v>207</v>
      </c>
      <c r="J469" s="24" t="s">
        <v>223</v>
      </c>
      <c r="K469" s="24" t="s">
        <v>226</v>
      </c>
      <c r="L469" s="24" t="s">
        <v>220</v>
      </c>
      <c r="M469" s="24">
        <v>2</v>
      </c>
      <c r="N469" s="24" t="s">
        <v>72</v>
      </c>
      <c r="O469" s="24" t="s">
        <v>250</v>
      </c>
      <c r="P469" s="24" t="s">
        <v>253</v>
      </c>
      <c r="Q469" s="24" t="s">
        <v>384</v>
      </c>
      <c r="R469" s="24" t="s">
        <v>290</v>
      </c>
      <c r="S469" s="24" t="s">
        <v>296</v>
      </c>
      <c r="T469" s="24" t="s">
        <v>45</v>
      </c>
      <c r="U469" s="24" t="s">
        <v>113</v>
      </c>
    </row>
    <row r="470" spans="3:21" ht="21.9" customHeight="1" x14ac:dyDescent="0.3">
      <c r="C470" s="24">
        <v>74</v>
      </c>
      <c r="D470" s="45">
        <v>43865</v>
      </c>
      <c r="E470" s="24">
        <f t="shared" si="6"/>
        <v>2</v>
      </c>
      <c r="F470" s="46">
        <v>210</v>
      </c>
      <c r="G470" s="24" t="s">
        <v>88</v>
      </c>
      <c r="H470" s="24" t="s">
        <v>196</v>
      </c>
      <c r="I470" s="24" t="s">
        <v>208</v>
      </c>
      <c r="J470" s="24" t="s">
        <v>216</v>
      </c>
      <c r="K470" s="24" t="s">
        <v>226</v>
      </c>
      <c r="L470" s="24" t="s">
        <v>230</v>
      </c>
      <c r="M470" s="24">
        <v>3</v>
      </c>
      <c r="N470" s="24" t="s">
        <v>76</v>
      </c>
      <c r="O470" s="24" t="s">
        <v>272</v>
      </c>
      <c r="P470" s="24" t="s">
        <v>245</v>
      </c>
      <c r="Q470" s="24" t="s">
        <v>288</v>
      </c>
      <c r="R470" s="24" t="s">
        <v>56</v>
      </c>
      <c r="S470" s="24" t="s">
        <v>28</v>
      </c>
      <c r="T470" s="24" t="s">
        <v>48</v>
      </c>
      <c r="U470" s="24" t="s">
        <v>115</v>
      </c>
    </row>
    <row r="471" spans="3:21" ht="21.9" customHeight="1" x14ac:dyDescent="0.3">
      <c r="C471" s="24">
        <v>73</v>
      </c>
      <c r="D471" s="45">
        <v>43864</v>
      </c>
      <c r="E471" s="24">
        <f t="shared" si="6"/>
        <v>2</v>
      </c>
      <c r="F471" s="46">
        <v>228</v>
      </c>
      <c r="G471" s="24" t="s">
        <v>87</v>
      </c>
      <c r="H471" s="24" t="s">
        <v>197</v>
      </c>
      <c r="I471" s="24" t="s">
        <v>208</v>
      </c>
      <c r="J471" s="24" t="s">
        <v>222</v>
      </c>
      <c r="K471" s="24" t="s">
        <v>226</v>
      </c>
      <c r="L471" s="24" t="s">
        <v>230</v>
      </c>
      <c r="M471" s="24">
        <v>3</v>
      </c>
      <c r="N471" s="24" t="s">
        <v>71</v>
      </c>
      <c r="O471" s="24" t="s">
        <v>271</v>
      </c>
      <c r="P471" s="24" t="s">
        <v>286</v>
      </c>
      <c r="Q471" s="24" t="s">
        <v>288</v>
      </c>
      <c r="R471" s="24" t="s">
        <v>437</v>
      </c>
      <c r="S471" s="24" t="s">
        <v>494</v>
      </c>
      <c r="T471" s="24" t="s">
        <v>262</v>
      </c>
      <c r="U471" s="24" t="s">
        <v>113</v>
      </c>
    </row>
    <row r="472" spans="3:21" ht="21.9" customHeight="1" x14ac:dyDescent="0.3">
      <c r="C472" s="24">
        <v>72</v>
      </c>
      <c r="D472" s="45">
        <v>43863</v>
      </c>
      <c r="E472" s="24">
        <f t="shared" si="6"/>
        <v>2</v>
      </c>
      <c r="F472" s="46">
        <v>600</v>
      </c>
      <c r="G472" s="24" t="s">
        <v>86</v>
      </c>
      <c r="H472" s="24" t="s">
        <v>198</v>
      </c>
      <c r="I472" s="24" t="s">
        <v>207</v>
      </c>
      <c r="J472" s="24" t="s">
        <v>224</v>
      </c>
      <c r="K472" s="24" t="s">
        <v>228</v>
      </c>
      <c r="L472" s="24" t="s">
        <v>230</v>
      </c>
      <c r="M472" s="24">
        <v>1</v>
      </c>
      <c r="N472" s="24" t="s">
        <v>72</v>
      </c>
      <c r="O472" s="24" t="s">
        <v>250</v>
      </c>
      <c r="P472" s="24" t="s">
        <v>253</v>
      </c>
      <c r="Q472" s="24" t="s">
        <v>384</v>
      </c>
      <c r="R472" s="24" t="s">
        <v>61</v>
      </c>
      <c r="S472" s="24" t="s">
        <v>33</v>
      </c>
      <c r="T472" s="24" t="s">
        <v>47</v>
      </c>
      <c r="U472" s="24" t="s">
        <v>113</v>
      </c>
    </row>
    <row r="473" spans="3:21" ht="21.9" customHeight="1" x14ac:dyDescent="0.3">
      <c r="C473" s="24">
        <v>71</v>
      </c>
      <c r="D473" s="45">
        <v>43862</v>
      </c>
      <c r="E473" s="24">
        <f t="shared" si="6"/>
        <v>2</v>
      </c>
      <c r="F473" s="46">
        <v>340</v>
      </c>
      <c r="G473" s="24" t="s">
        <v>85</v>
      </c>
      <c r="H473" s="24" t="s">
        <v>199</v>
      </c>
      <c r="I473" s="24" t="s">
        <v>209</v>
      </c>
      <c r="J473" s="24" t="s">
        <v>216</v>
      </c>
      <c r="K473" s="24" t="s">
        <v>228</v>
      </c>
      <c r="L473" s="24" t="s">
        <v>221</v>
      </c>
      <c r="M473" s="24">
        <v>2</v>
      </c>
      <c r="N473" s="24" t="s">
        <v>51</v>
      </c>
      <c r="O473" s="24" t="s">
        <v>269</v>
      </c>
      <c r="P473" s="24" t="s">
        <v>262</v>
      </c>
      <c r="Q473" s="24" t="s">
        <v>288</v>
      </c>
      <c r="R473" s="24" t="s">
        <v>465</v>
      </c>
      <c r="S473" s="24" t="s">
        <v>499</v>
      </c>
      <c r="T473" s="24" t="s">
        <v>249</v>
      </c>
      <c r="U473" s="24" t="s">
        <v>113</v>
      </c>
    </row>
    <row r="474" spans="3:21" ht="21.9" customHeight="1" x14ac:dyDescent="0.3">
      <c r="C474" s="24">
        <v>70</v>
      </c>
      <c r="D474" s="45">
        <v>43889</v>
      </c>
      <c r="E474" s="24">
        <f t="shared" si="6"/>
        <v>2</v>
      </c>
      <c r="F474" s="46">
        <v>1200</v>
      </c>
      <c r="G474" s="24" t="s">
        <v>84</v>
      </c>
      <c r="H474" s="24" t="s">
        <v>200</v>
      </c>
      <c r="I474" s="24" t="s">
        <v>208</v>
      </c>
      <c r="J474" s="24" t="s">
        <v>222</v>
      </c>
      <c r="K474" s="24" t="s">
        <v>228</v>
      </c>
      <c r="L474" s="24" t="s">
        <v>220</v>
      </c>
      <c r="M474" s="24">
        <v>3</v>
      </c>
      <c r="N474" s="24" t="s">
        <v>51</v>
      </c>
      <c r="O474" s="24" t="s">
        <v>269</v>
      </c>
      <c r="P474" s="24" t="s">
        <v>262</v>
      </c>
      <c r="Q474" s="24" t="s">
        <v>288</v>
      </c>
      <c r="R474" s="24" t="s">
        <v>454</v>
      </c>
      <c r="S474" s="24" t="s">
        <v>497</v>
      </c>
      <c r="T474" s="24" t="s">
        <v>253</v>
      </c>
      <c r="U474" s="24" t="s">
        <v>113</v>
      </c>
    </row>
    <row r="475" spans="3:21" ht="21.9" customHeight="1" x14ac:dyDescent="0.3">
      <c r="C475" s="24">
        <v>69</v>
      </c>
      <c r="D475" s="45">
        <v>43888</v>
      </c>
      <c r="E475" s="24">
        <f t="shared" si="6"/>
        <v>2</v>
      </c>
      <c r="F475" s="46">
        <v>1600</v>
      </c>
      <c r="G475" s="24" t="s">
        <v>83</v>
      </c>
      <c r="H475" s="24" t="s">
        <v>201</v>
      </c>
      <c r="I475" s="24" t="s">
        <v>208</v>
      </c>
      <c r="J475" s="24" t="s">
        <v>222</v>
      </c>
      <c r="K475" s="24" t="s">
        <v>226</v>
      </c>
      <c r="L475" s="24" t="s">
        <v>230</v>
      </c>
      <c r="M475" s="24">
        <v>2</v>
      </c>
      <c r="N475" s="24" t="s">
        <v>71</v>
      </c>
      <c r="O475" s="24" t="s">
        <v>271</v>
      </c>
      <c r="P475" s="24" t="s">
        <v>286</v>
      </c>
      <c r="Q475" s="24" t="s">
        <v>288</v>
      </c>
      <c r="R475" s="24" t="s">
        <v>50</v>
      </c>
      <c r="S475" s="24" t="s">
        <v>291</v>
      </c>
      <c r="T475" s="24" t="s">
        <v>46</v>
      </c>
      <c r="U475" s="24" t="s">
        <v>294</v>
      </c>
    </row>
    <row r="476" spans="3:21" ht="21.9" customHeight="1" x14ac:dyDescent="0.3">
      <c r="C476" s="24">
        <v>68</v>
      </c>
      <c r="D476" s="45">
        <v>43887</v>
      </c>
      <c r="E476" s="24">
        <f t="shared" si="6"/>
        <v>2</v>
      </c>
      <c r="F476" s="46">
        <v>400</v>
      </c>
      <c r="G476" s="24" t="s">
        <v>82</v>
      </c>
      <c r="H476" s="24" t="s">
        <v>202</v>
      </c>
      <c r="I476" s="24" t="s">
        <v>207</v>
      </c>
      <c r="J476" s="24" t="s">
        <v>222</v>
      </c>
      <c r="K476" s="24" t="s">
        <v>226</v>
      </c>
      <c r="L476" s="24" t="s">
        <v>230</v>
      </c>
      <c r="M476" s="24">
        <v>1</v>
      </c>
      <c r="N476" s="24" t="s">
        <v>75</v>
      </c>
      <c r="O476" s="24" t="s">
        <v>26</v>
      </c>
      <c r="P476" s="24" t="s">
        <v>249</v>
      </c>
      <c r="Q476" s="24" t="s">
        <v>289</v>
      </c>
      <c r="R476" s="24" t="s">
        <v>64</v>
      </c>
      <c r="S476" s="24" t="s">
        <v>36</v>
      </c>
      <c r="T476" s="24" t="s">
        <v>327</v>
      </c>
      <c r="U476" s="24" t="s">
        <v>114</v>
      </c>
    </row>
    <row r="477" spans="3:21" ht="21.9" customHeight="1" x14ac:dyDescent="0.3">
      <c r="C477" s="24">
        <v>67</v>
      </c>
      <c r="D477" s="45">
        <v>43886</v>
      </c>
      <c r="E477" s="24">
        <f t="shared" si="6"/>
        <v>2</v>
      </c>
      <c r="F477" s="46">
        <v>500</v>
      </c>
      <c r="G477" s="24" t="s">
        <v>81</v>
      </c>
      <c r="H477" s="24" t="s">
        <v>203</v>
      </c>
      <c r="I477" s="24" t="s">
        <v>207</v>
      </c>
      <c r="J477" s="24" t="s">
        <v>223</v>
      </c>
      <c r="K477" s="24" t="s">
        <v>226</v>
      </c>
      <c r="L477" s="24" t="s">
        <v>230</v>
      </c>
      <c r="M477" s="24">
        <v>2</v>
      </c>
      <c r="N477" s="24" t="s">
        <v>74</v>
      </c>
      <c r="O477" s="24" t="s">
        <v>270</v>
      </c>
      <c r="P477" s="24" t="s">
        <v>260</v>
      </c>
      <c r="Q477" s="24" t="s">
        <v>288</v>
      </c>
      <c r="R477" s="24" t="s">
        <v>52</v>
      </c>
      <c r="S477" s="24" t="s">
        <v>24</v>
      </c>
      <c r="T477" s="24" t="s">
        <v>44</v>
      </c>
      <c r="U477" s="24" t="s">
        <v>113</v>
      </c>
    </row>
    <row r="478" spans="3:21" ht="21.9" customHeight="1" x14ac:dyDescent="0.3">
      <c r="C478" s="24">
        <v>66</v>
      </c>
      <c r="D478" s="45">
        <v>43885</v>
      </c>
      <c r="E478" s="24">
        <f t="shared" si="6"/>
        <v>2</v>
      </c>
      <c r="F478" s="46">
        <v>120</v>
      </c>
      <c r="G478" s="24" t="s">
        <v>80</v>
      </c>
      <c r="H478" s="24" t="s">
        <v>204</v>
      </c>
      <c r="I478" s="24" t="s">
        <v>207</v>
      </c>
      <c r="J478" s="24" t="s">
        <v>221</v>
      </c>
      <c r="K478" s="24" t="s">
        <v>229</v>
      </c>
      <c r="L478" s="24" t="s">
        <v>221</v>
      </c>
      <c r="M478" s="24">
        <v>3</v>
      </c>
      <c r="N478" s="24" t="s">
        <v>76</v>
      </c>
      <c r="O478" s="24" t="s">
        <v>272</v>
      </c>
      <c r="P478" s="24" t="s">
        <v>245</v>
      </c>
      <c r="Q478" s="24" t="s">
        <v>288</v>
      </c>
      <c r="R478" s="24" t="s">
        <v>398</v>
      </c>
      <c r="S478" s="24" t="s">
        <v>487</v>
      </c>
      <c r="T478" s="24" t="s">
        <v>401</v>
      </c>
      <c r="U478" s="24" t="s">
        <v>113</v>
      </c>
    </row>
    <row r="479" spans="3:21" ht="21.9" customHeight="1" x14ac:dyDescent="0.3">
      <c r="C479" s="24">
        <v>65</v>
      </c>
      <c r="D479" s="45">
        <v>43884</v>
      </c>
      <c r="E479" s="24">
        <f t="shared" si="6"/>
        <v>2</v>
      </c>
      <c r="F479" s="46">
        <v>35</v>
      </c>
      <c r="G479" s="24" t="s">
        <v>79</v>
      </c>
      <c r="H479" s="24" t="s">
        <v>205</v>
      </c>
      <c r="I479" s="24" t="s">
        <v>207</v>
      </c>
      <c r="J479" s="24" t="s">
        <v>221</v>
      </c>
      <c r="K479" s="24" t="s">
        <v>229</v>
      </c>
      <c r="L479" s="24" t="s">
        <v>221</v>
      </c>
      <c r="M479" s="24">
        <v>1</v>
      </c>
      <c r="N479" s="24" t="s">
        <v>77</v>
      </c>
      <c r="O479" s="24" t="s">
        <v>273</v>
      </c>
      <c r="P479" s="24" t="s">
        <v>241</v>
      </c>
      <c r="Q479" s="24" t="s">
        <v>287</v>
      </c>
      <c r="R479" s="24" t="s">
        <v>56</v>
      </c>
      <c r="S479" s="24" t="s">
        <v>28</v>
      </c>
      <c r="T479" s="24" t="s">
        <v>48</v>
      </c>
      <c r="U479" s="24" t="s">
        <v>115</v>
      </c>
    </row>
    <row r="480" spans="3:21" ht="21.9" customHeight="1" x14ac:dyDescent="0.3">
      <c r="C480" s="24">
        <v>64</v>
      </c>
      <c r="D480" s="45">
        <v>43883</v>
      </c>
      <c r="E480" s="24">
        <f t="shared" si="6"/>
        <v>2</v>
      </c>
      <c r="F480" s="46">
        <v>60</v>
      </c>
      <c r="G480" s="24" t="s">
        <v>78</v>
      </c>
      <c r="H480" s="24" t="s">
        <v>206</v>
      </c>
      <c r="I480" s="24" t="s">
        <v>207</v>
      </c>
      <c r="J480" s="24" t="s">
        <v>221</v>
      </c>
      <c r="K480" s="24" t="s">
        <v>229</v>
      </c>
      <c r="L480" s="24" t="s">
        <v>221</v>
      </c>
      <c r="M480" s="24">
        <v>2</v>
      </c>
      <c r="N480" s="24" t="s">
        <v>380</v>
      </c>
      <c r="O480" s="24" t="s">
        <v>381</v>
      </c>
      <c r="P480" s="24" t="s">
        <v>46</v>
      </c>
      <c r="Q480" s="24" t="s">
        <v>384</v>
      </c>
      <c r="R480" s="24" t="s">
        <v>337</v>
      </c>
      <c r="S480" s="24" t="s">
        <v>43</v>
      </c>
      <c r="T480" s="24" t="s">
        <v>49</v>
      </c>
      <c r="U480" s="24" t="s">
        <v>113</v>
      </c>
    </row>
    <row r="481" spans="3:21" ht="21.9" customHeight="1" x14ac:dyDescent="0.3">
      <c r="C481" s="24">
        <v>63</v>
      </c>
      <c r="D481" s="45">
        <v>43882</v>
      </c>
      <c r="E481" s="24">
        <f t="shared" si="6"/>
        <v>2</v>
      </c>
      <c r="F481" s="46">
        <v>1600</v>
      </c>
      <c r="G481" s="24" t="s">
        <v>121</v>
      </c>
      <c r="H481" s="24" t="s">
        <v>183</v>
      </c>
      <c r="I481" s="24" t="s">
        <v>207</v>
      </c>
      <c r="J481" s="24" t="s">
        <v>210</v>
      </c>
      <c r="K481" s="24" t="s">
        <v>184</v>
      </c>
      <c r="L481" s="24" t="s">
        <v>230</v>
      </c>
      <c r="M481" s="24">
        <v>1</v>
      </c>
      <c r="N481" s="24" t="s">
        <v>71</v>
      </c>
      <c r="O481" s="24" t="s">
        <v>271</v>
      </c>
      <c r="P481" s="24" t="s">
        <v>286</v>
      </c>
      <c r="Q481" s="24" t="s">
        <v>288</v>
      </c>
      <c r="R481" s="24" t="s">
        <v>437</v>
      </c>
      <c r="S481" s="24" t="s">
        <v>494</v>
      </c>
      <c r="T481" s="24" t="s">
        <v>262</v>
      </c>
      <c r="U481" s="24" t="s">
        <v>113</v>
      </c>
    </row>
    <row r="482" spans="3:21" ht="21.9" customHeight="1" x14ac:dyDescent="0.3">
      <c r="C482" s="24">
        <v>62</v>
      </c>
      <c r="D482" s="45">
        <v>43881</v>
      </c>
      <c r="E482" s="24">
        <f t="shared" si="6"/>
        <v>2</v>
      </c>
      <c r="F482" s="46">
        <v>5600</v>
      </c>
      <c r="G482" s="24" t="s">
        <v>120</v>
      </c>
      <c r="H482" s="24" t="s">
        <v>185</v>
      </c>
      <c r="I482" s="24" t="s">
        <v>207</v>
      </c>
      <c r="J482" s="24" t="s">
        <v>210</v>
      </c>
      <c r="K482" s="24" t="s">
        <v>184</v>
      </c>
      <c r="L482" s="24" t="s">
        <v>230</v>
      </c>
      <c r="M482" s="24">
        <v>2</v>
      </c>
      <c r="N482" s="24" t="s">
        <v>77</v>
      </c>
      <c r="O482" s="24" t="s">
        <v>273</v>
      </c>
      <c r="P482" s="24" t="s">
        <v>241</v>
      </c>
      <c r="Q482" s="24" t="s">
        <v>287</v>
      </c>
      <c r="R482" s="24" t="s">
        <v>65</v>
      </c>
      <c r="S482" s="24" t="s">
        <v>37</v>
      </c>
      <c r="T482" s="24" t="s">
        <v>48</v>
      </c>
      <c r="U482" s="24" t="s">
        <v>113</v>
      </c>
    </row>
    <row r="483" spans="3:21" ht="21.9" customHeight="1" x14ac:dyDescent="0.3">
      <c r="C483" s="24">
        <v>61</v>
      </c>
      <c r="D483" s="45">
        <v>43880</v>
      </c>
      <c r="E483" s="24">
        <f t="shared" si="6"/>
        <v>2</v>
      </c>
      <c r="F483" s="46">
        <v>160</v>
      </c>
      <c r="G483" s="24" t="s">
        <v>97</v>
      </c>
      <c r="H483" s="24" t="s">
        <v>189</v>
      </c>
      <c r="I483" s="24" t="s">
        <v>207</v>
      </c>
      <c r="J483" s="24" t="s">
        <v>211</v>
      </c>
      <c r="K483" s="24" t="s">
        <v>227</v>
      </c>
      <c r="L483" s="24" t="s">
        <v>186</v>
      </c>
      <c r="M483" s="24">
        <v>2</v>
      </c>
      <c r="N483" s="24" t="s">
        <v>51</v>
      </c>
      <c r="O483" s="24" t="s">
        <v>269</v>
      </c>
      <c r="P483" s="24" t="s">
        <v>262</v>
      </c>
      <c r="Q483" s="24" t="s">
        <v>288</v>
      </c>
      <c r="R483" s="24" t="s">
        <v>65</v>
      </c>
      <c r="S483" s="24" t="s">
        <v>37</v>
      </c>
      <c r="T483" s="24" t="s">
        <v>48</v>
      </c>
      <c r="U483" s="24" t="s">
        <v>113</v>
      </c>
    </row>
    <row r="484" spans="3:21" ht="21.9" customHeight="1" x14ac:dyDescent="0.3">
      <c r="C484" s="24">
        <v>60</v>
      </c>
      <c r="D484" s="45">
        <v>43879</v>
      </c>
      <c r="E484" s="24">
        <f t="shared" si="6"/>
        <v>2</v>
      </c>
      <c r="F484" s="46">
        <v>60</v>
      </c>
      <c r="G484" s="24" t="s">
        <v>96</v>
      </c>
      <c r="H484" s="24" t="s">
        <v>190</v>
      </c>
      <c r="I484" s="24" t="s">
        <v>208</v>
      </c>
      <c r="J484" s="24" t="s">
        <v>212</v>
      </c>
      <c r="K484" s="24" t="s">
        <v>227</v>
      </c>
      <c r="L484" s="24" t="s">
        <v>223</v>
      </c>
      <c r="M484" s="24">
        <v>1</v>
      </c>
      <c r="N484" s="24" t="s">
        <v>76</v>
      </c>
      <c r="O484" s="24" t="s">
        <v>272</v>
      </c>
      <c r="P484" s="24" t="s">
        <v>245</v>
      </c>
      <c r="Q484" s="24" t="s">
        <v>288</v>
      </c>
      <c r="R484" s="24" t="s">
        <v>347</v>
      </c>
      <c r="S484" s="24" t="s">
        <v>335</v>
      </c>
      <c r="T484" s="24" t="s">
        <v>49</v>
      </c>
      <c r="U484" s="24" t="s">
        <v>113</v>
      </c>
    </row>
    <row r="485" spans="3:21" ht="21.9" customHeight="1" x14ac:dyDescent="0.3">
      <c r="C485" s="24">
        <v>59</v>
      </c>
      <c r="D485" s="45">
        <v>43878</v>
      </c>
      <c r="E485" s="24">
        <f t="shared" si="6"/>
        <v>2</v>
      </c>
      <c r="F485" s="46">
        <v>300</v>
      </c>
      <c r="G485" s="24" t="s">
        <v>95</v>
      </c>
      <c r="H485" s="24" t="s">
        <v>191</v>
      </c>
      <c r="I485" s="24" t="s">
        <v>207</v>
      </c>
      <c r="J485" s="24" t="s">
        <v>222</v>
      </c>
      <c r="K485" s="24" t="s">
        <v>226</v>
      </c>
      <c r="L485" s="24" t="s">
        <v>231</v>
      </c>
      <c r="M485" s="24">
        <v>3</v>
      </c>
      <c r="N485" s="24" t="s">
        <v>74</v>
      </c>
      <c r="O485" s="24" t="s">
        <v>270</v>
      </c>
      <c r="P485" s="24" t="s">
        <v>260</v>
      </c>
      <c r="Q485" s="24" t="s">
        <v>288</v>
      </c>
      <c r="R485" s="24" t="s">
        <v>290</v>
      </c>
      <c r="S485" s="24" t="s">
        <v>296</v>
      </c>
      <c r="T485" s="24" t="s">
        <v>45</v>
      </c>
      <c r="U485" s="24" t="s">
        <v>113</v>
      </c>
    </row>
    <row r="486" spans="3:21" ht="21.9" customHeight="1" x14ac:dyDescent="0.3">
      <c r="C486" s="24">
        <v>58</v>
      </c>
      <c r="D486" s="45">
        <v>43877</v>
      </c>
      <c r="E486" s="24">
        <f t="shared" ref="E486:E543" si="7">MONTH(D486)</f>
        <v>2</v>
      </c>
      <c r="F486" s="46">
        <v>600</v>
      </c>
      <c r="G486" s="24" t="s">
        <v>94</v>
      </c>
      <c r="H486" s="24" t="s">
        <v>192</v>
      </c>
      <c r="I486" s="24" t="s">
        <v>207</v>
      </c>
      <c r="J486" s="24" t="s">
        <v>216</v>
      </c>
      <c r="K486" s="24" t="s">
        <v>187</v>
      </c>
      <c r="L486" s="24" t="s">
        <v>232</v>
      </c>
      <c r="M486" s="24">
        <v>2</v>
      </c>
      <c r="N486" s="24" t="s">
        <v>51</v>
      </c>
      <c r="O486" s="24" t="s">
        <v>269</v>
      </c>
      <c r="P486" s="24" t="s">
        <v>262</v>
      </c>
      <c r="Q486" s="24" t="s">
        <v>288</v>
      </c>
      <c r="R486" s="24" t="s">
        <v>470</v>
      </c>
      <c r="S486" s="24" t="s">
        <v>500</v>
      </c>
      <c r="T486" s="24" t="s">
        <v>473</v>
      </c>
      <c r="U486" s="24" t="s">
        <v>113</v>
      </c>
    </row>
    <row r="487" spans="3:21" ht="21.9" customHeight="1" x14ac:dyDescent="0.3">
      <c r="C487" s="24">
        <v>57</v>
      </c>
      <c r="D487" s="45">
        <v>43876</v>
      </c>
      <c r="E487" s="24">
        <f t="shared" si="7"/>
        <v>2</v>
      </c>
      <c r="F487" s="46">
        <v>1050</v>
      </c>
      <c r="G487" s="24" t="s">
        <v>93</v>
      </c>
      <c r="H487" s="24" t="s">
        <v>193</v>
      </c>
      <c r="I487" s="24" t="s">
        <v>208</v>
      </c>
      <c r="J487" s="24" t="s">
        <v>218</v>
      </c>
      <c r="K487" s="24" t="s">
        <v>187</v>
      </c>
      <c r="L487" s="24" t="s">
        <v>186</v>
      </c>
      <c r="M487" s="24">
        <v>3</v>
      </c>
      <c r="N487" s="24" t="s">
        <v>71</v>
      </c>
      <c r="O487" s="24" t="s">
        <v>271</v>
      </c>
      <c r="P487" s="24" t="s">
        <v>286</v>
      </c>
      <c r="Q487" s="24" t="s">
        <v>288</v>
      </c>
      <c r="R487" s="24" t="s">
        <v>448</v>
      </c>
      <c r="S487" s="24" t="s">
        <v>496</v>
      </c>
      <c r="T487" s="24" t="s">
        <v>451</v>
      </c>
      <c r="U487" s="24" t="s">
        <v>113</v>
      </c>
    </row>
    <row r="488" spans="3:21" ht="21.9" customHeight="1" x14ac:dyDescent="0.3">
      <c r="C488" s="24">
        <v>56</v>
      </c>
      <c r="D488" s="45">
        <v>43875</v>
      </c>
      <c r="E488" s="24">
        <f t="shared" si="7"/>
        <v>2</v>
      </c>
      <c r="F488" s="46">
        <v>810</v>
      </c>
      <c r="G488" s="24" t="s">
        <v>92</v>
      </c>
      <c r="H488" s="24" t="s">
        <v>225</v>
      </c>
      <c r="I488" s="24" t="s">
        <v>207</v>
      </c>
      <c r="J488" s="24" t="s">
        <v>219</v>
      </c>
      <c r="K488" s="24" t="s">
        <v>226</v>
      </c>
      <c r="L488" s="24" t="s">
        <v>186</v>
      </c>
      <c r="M488" s="24">
        <v>3</v>
      </c>
      <c r="N488" s="24" t="s">
        <v>77</v>
      </c>
      <c r="O488" s="24" t="s">
        <v>273</v>
      </c>
      <c r="P488" s="24" t="s">
        <v>241</v>
      </c>
      <c r="Q488" s="24" t="s">
        <v>287</v>
      </c>
      <c r="R488" s="24" t="s">
        <v>481</v>
      </c>
      <c r="S488" s="24" t="s">
        <v>501</v>
      </c>
      <c r="T488" s="24" t="s">
        <v>49</v>
      </c>
      <c r="U488" s="24" t="s">
        <v>115</v>
      </c>
    </row>
    <row r="489" spans="3:21" ht="21.9" customHeight="1" x14ac:dyDescent="0.3">
      <c r="C489" s="24">
        <v>55</v>
      </c>
      <c r="D489" s="45">
        <v>43874</v>
      </c>
      <c r="E489" s="24">
        <f t="shared" si="7"/>
        <v>2</v>
      </c>
      <c r="F489" s="46">
        <v>1500</v>
      </c>
      <c r="G489" s="24" t="s">
        <v>91</v>
      </c>
      <c r="H489" s="24" t="s">
        <v>194</v>
      </c>
      <c r="I489" s="24" t="s">
        <v>209</v>
      </c>
      <c r="J489" s="24" t="s">
        <v>219</v>
      </c>
      <c r="K489" s="24" t="s">
        <v>187</v>
      </c>
      <c r="L489" s="24" t="s">
        <v>186</v>
      </c>
      <c r="M489" s="24">
        <v>3</v>
      </c>
      <c r="N489" s="24" t="s">
        <v>76</v>
      </c>
      <c r="O489" s="24" t="s">
        <v>272</v>
      </c>
      <c r="P489" s="24" t="s">
        <v>245</v>
      </c>
      <c r="Q489" s="24" t="s">
        <v>288</v>
      </c>
      <c r="R489" s="24" t="s">
        <v>425</v>
      </c>
      <c r="S489" s="24" t="s">
        <v>492</v>
      </c>
      <c r="T489" s="24" t="s">
        <v>428</v>
      </c>
      <c r="U489" s="24" t="s">
        <v>113</v>
      </c>
    </row>
    <row r="490" spans="3:21" ht="21.9" customHeight="1" x14ac:dyDescent="0.3">
      <c r="C490" s="24">
        <v>54</v>
      </c>
      <c r="D490" s="45">
        <v>43873</v>
      </c>
      <c r="E490" s="24">
        <f t="shared" si="7"/>
        <v>2</v>
      </c>
      <c r="F490" s="46">
        <v>1800</v>
      </c>
      <c r="G490" s="24" t="s">
        <v>90</v>
      </c>
      <c r="H490" s="24" t="s">
        <v>188</v>
      </c>
      <c r="I490" s="24" t="s">
        <v>209</v>
      </c>
      <c r="J490" s="24" t="s">
        <v>220</v>
      </c>
      <c r="K490" s="24" t="s">
        <v>187</v>
      </c>
      <c r="L490" s="24" t="s">
        <v>220</v>
      </c>
      <c r="M490" s="24">
        <v>2</v>
      </c>
      <c r="N490" s="24" t="s">
        <v>75</v>
      </c>
      <c r="O490" s="24" t="s">
        <v>26</v>
      </c>
      <c r="P490" s="24" t="s">
        <v>249</v>
      </c>
      <c r="Q490" s="24" t="s">
        <v>289</v>
      </c>
      <c r="R490" s="24" t="s">
        <v>454</v>
      </c>
      <c r="S490" s="24" t="s">
        <v>497</v>
      </c>
      <c r="T490" s="24" t="s">
        <v>253</v>
      </c>
      <c r="U490" s="24" t="s">
        <v>113</v>
      </c>
    </row>
    <row r="491" spans="3:21" ht="21.9" customHeight="1" x14ac:dyDescent="0.3">
      <c r="C491" s="24">
        <v>53</v>
      </c>
      <c r="D491" s="45">
        <v>43872</v>
      </c>
      <c r="E491" s="24">
        <f t="shared" si="7"/>
        <v>2</v>
      </c>
      <c r="F491" s="46">
        <v>60</v>
      </c>
      <c r="G491" s="24" t="s">
        <v>89</v>
      </c>
      <c r="H491" s="24" t="s">
        <v>195</v>
      </c>
      <c r="I491" s="24" t="s">
        <v>207</v>
      </c>
      <c r="J491" s="24" t="s">
        <v>223</v>
      </c>
      <c r="K491" s="24" t="s">
        <v>226</v>
      </c>
      <c r="L491" s="24" t="s">
        <v>220</v>
      </c>
      <c r="M491" s="24">
        <v>1</v>
      </c>
      <c r="N491" s="24" t="s">
        <v>77</v>
      </c>
      <c r="O491" s="24" t="s">
        <v>273</v>
      </c>
      <c r="P491" s="24" t="s">
        <v>241</v>
      </c>
      <c r="Q491" s="24" t="s">
        <v>287</v>
      </c>
      <c r="R491" s="24" t="s">
        <v>344</v>
      </c>
      <c r="S491" s="24" t="s">
        <v>328</v>
      </c>
      <c r="T491" s="24" t="s">
        <v>46</v>
      </c>
      <c r="U491" s="24" t="s">
        <v>115</v>
      </c>
    </row>
    <row r="492" spans="3:21" ht="21.9" customHeight="1" x14ac:dyDescent="0.3">
      <c r="C492" s="24">
        <v>52</v>
      </c>
      <c r="D492" s="45">
        <v>43871</v>
      </c>
      <c r="E492" s="24">
        <f t="shared" si="7"/>
        <v>2</v>
      </c>
      <c r="F492" s="46">
        <v>70</v>
      </c>
      <c r="G492" s="24" t="s">
        <v>88</v>
      </c>
      <c r="H492" s="24" t="s">
        <v>196</v>
      </c>
      <c r="I492" s="24" t="s">
        <v>208</v>
      </c>
      <c r="J492" s="24" t="s">
        <v>216</v>
      </c>
      <c r="K492" s="24" t="s">
        <v>226</v>
      </c>
      <c r="L492" s="24" t="s">
        <v>230</v>
      </c>
      <c r="M492" s="24">
        <v>1</v>
      </c>
      <c r="N492" s="24" t="s">
        <v>74</v>
      </c>
      <c r="O492" s="24" t="s">
        <v>270</v>
      </c>
      <c r="P492" s="24" t="s">
        <v>260</v>
      </c>
      <c r="Q492" s="24" t="s">
        <v>288</v>
      </c>
      <c r="R492" s="24" t="s">
        <v>404</v>
      </c>
      <c r="S492" s="24" t="s">
        <v>488</v>
      </c>
      <c r="T492" s="24" t="s">
        <v>241</v>
      </c>
      <c r="U492" s="24" t="s">
        <v>518</v>
      </c>
    </row>
    <row r="493" spans="3:21" ht="21.9" customHeight="1" x14ac:dyDescent="0.3">
      <c r="C493" s="24">
        <v>51</v>
      </c>
      <c r="D493" s="45">
        <v>43870</v>
      </c>
      <c r="E493" s="24">
        <f t="shared" si="7"/>
        <v>2</v>
      </c>
      <c r="F493" s="46">
        <v>228</v>
      </c>
      <c r="G493" s="24" t="s">
        <v>87</v>
      </c>
      <c r="H493" s="24" t="s">
        <v>197</v>
      </c>
      <c r="I493" s="24" t="s">
        <v>208</v>
      </c>
      <c r="J493" s="24" t="s">
        <v>222</v>
      </c>
      <c r="K493" s="24" t="s">
        <v>226</v>
      </c>
      <c r="L493" s="24" t="s">
        <v>230</v>
      </c>
      <c r="M493" s="24">
        <v>3</v>
      </c>
      <c r="N493" s="24" t="s">
        <v>51</v>
      </c>
      <c r="O493" s="24" t="s">
        <v>269</v>
      </c>
      <c r="P493" s="24" t="s">
        <v>262</v>
      </c>
      <c r="Q493" s="24" t="s">
        <v>288</v>
      </c>
      <c r="R493" s="24" t="s">
        <v>50</v>
      </c>
      <c r="S493" s="24" t="s">
        <v>291</v>
      </c>
      <c r="T493" s="24" t="s">
        <v>46</v>
      </c>
      <c r="U493" s="24" t="s">
        <v>294</v>
      </c>
    </row>
    <row r="494" spans="3:21" ht="21.9" customHeight="1" x14ac:dyDescent="0.3">
      <c r="C494" s="24">
        <v>50</v>
      </c>
      <c r="D494" s="45">
        <v>43869</v>
      </c>
      <c r="E494" s="24">
        <f t="shared" si="7"/>
        <v>2</v>
      </c>
      <c r="F494" s="46">
        <v>1200</v>
      </c>
      <c r="G494" s="24" t="s">
        <v>86</v>
      </c>
      <c r="H494" s="24" t="s">
        <v>198</v>
      </c>
      <c r="I494" s="24" t="s">
        <v>207</v>
      </c>
      <c r="J494" s="24" t="s">
        <v>224</v>
      </c>
      <c r="K494" s="24" t="s">
        <v>228</v>
      </c>
      <c r="L494" s="24" t="s">
        <v>230</v>
      </c>
      <c r="M494" s="24">
        <v>2</v>
      </c>
      <c r="N494" s="24" t="s">
        <v>75</v>
      </c>
      <c r="O494" s="24" t="s">
        <v>26</v>
      </c>
      <c r="P494" s="24" t="s">
        <v>249</v>
      </c>
      <c r="Q494" s="24" t="s">
        <v>289</v>
      </c>
      <c r="R494" s="24" t="s">
        <v>57</v>
      </c>
      <c r="S494" s="24" t="s">
        <v>29</v>
      </c>
      <c r="T494" s="24" t="s">
        <v>49</v>
      </c>
      <c r="U494" s="24" t="s">
        <v>113</v>
      </c>
    </row>
    <row r="495" spans="3:21" ht="21.9" customHeight="1" x14ac:dyDescent="0.3">
      <c r="C495" s="24">
        <v>49</v>
      </c>
      <c r="D495" s="45">
        <v>43868</v>
      </c>
      <c r="E495" s="24">
        <f t="shared" si="7"/>
        <v>2</v>
      </c>
      <c r="F495" s="46">
        <v>170</v>
      </c>
      <c r="G495" s="24" t="s">
        <v>85</v>
      </c>
      <c r="H495" s="24" t="s">
        <v>199</v>
      </c>
      <c r="I495" s="24" t="s">
        <v>209</v>
      </c>
      <c r="J495" s="24" t="s">
        <v>216</v>
      </c>
      <c r="K495" s="24" t="s">
        <v>228</v>
      </c>
      <c r="L495" s="24" t="s">
        <v>221</v>
      </c>
      <c r="M495" s="24">
        <v>1</v>
      </c>
      <c r="N495" s="24" t="s">
        <v>74</v>
      </c>
      <c r="O495" s="24" t="s">
        <v>270</v>
      </c>
      <c r="P495" s="24" t="s">
        <v>260</v>
      </c>
      <c r="Q495" s="24" t="s">
        <v>288</v>
      </c>
      <c r="R495" s="24" t="s">
        <v>337</v>
      </c>
      <c r="S495" s="24" t="s">
        <v>43</v>
      </c>
      <c r="T495" s="24" t="s">
        <v>49</v>
      </c>
      <c r="U495" s="24" t="s">
        <v>113</v>
      </c>
    </row>
    <row r="496" spans="3:21" ht="21.9" customHeight="1" x14ac:dyDescent="0.3">
      <c r="C496" s="24">
        <v>48</v>
      </c>
      <c r="D496" s="45">
        <v>43867</v>
      </c>
      <c r="E496" s="24">
        <f t="shared" si="7"/>
        <v>2</v>
      </c>
      <c r="F496" s="46">
        <v>800</v>
      </c>
      <c r="G496" s="24" t="s">
        <v>84</v>
      </c>
      <c r="H496" s="24" t="s">
        <v>200</v>
      </c>
      <c r="I496" s="24" t="s">
        <v>208</v>
      </c>
      <c r="J496" s="24" t="s">
        <v>222</v>
      </c>
      <c r="K496" s="24" t="s">
        <v>228</v>
      </c>
      <c r="L496" s="24" t="s">
        <v>220</v>
      </c>
      <c r="M496" s="24">
        <v>2</v>
      </c>
      <c r="N496" s="24" t="s">
        <v>75</v>
      </c>
      <c r="O496" s="24" t="s">
        <v>26</v>
      </c>
      <c r="P496" s="24" t="s">
        <v>249</v>
      </c>
      <c r="Q496" s="24" t="s">
        <v>289</v>
      </c>
      <c r="R496" s="24" t="s">
        <v>343</v>
      </c>
      <c r="S496" s="24" t="s">
        <v>325</v>
      </c>
      <c r="T496" s="24" t="s">
        <v>45</v>
      </c>
      <c r="U496" s="24" t="s">
        <v>116</v>
      </c>
    </row>
    <row r="497" spans="3:21" ht="21.9" customHeight="1" x14ac:dyDescent="0.3">
      <c r="C497" s="24">
        <v>47</v>
      </c>
      <c r="D497" s="45">
        <v>43866</v>
      </c>
      <c r="E497" s="24">
        <f t="shared" si="7"/>
        <v>2</v>
      </c>
      <c r="F497" s="46">
        <v>2400</v>
      </c>
      <c r="G497" s="24" t="s">
        <v>83</v>
      </c>
      <c r="H497" s="24" t="s">
        <v>201</v>
      </c>
      <c r="I497" s="24" t="s">
        <v>208</v>
      </c>
      <c r="J497" s="24" t="s">
        <v>222</v>
      </c>
      <c r="K497" s="24" t="s">
        <v>226</v>
      </c>
      <c r="L497" s="24" t="s">
        <v>230</v>
      </c>
      <c r="M497" s="24">
        <v>3</v>
      </c>
      <c r="N497" s="24" t="s">
        <v>74</v>
      </c>
      <c r="O497" s="24" t="s">
        <v>270</v>
      </c>
      <c r="P497" s="24" t="s">
        <v>260</v>
      </c>
      <c r="Q497" s="24" t="s">
        <v>288</v>
      </c>
      <c r="R497" s="24" t="s">
        <v>346</v>
      </c>
      <c r="S497" s="24" t="s">
        <v>333</v>
      </c>
      <c r="T497" s="24" t="s">
        <v>47</v>
      </c>
      <c r="U497" s="24" t="s">
        <v>114</v>
      </c>
    </row>
    <row r="498" spans="3:21" ht="21.9" customHeight="1" x14ac:dyDescent="0.3">
      <c r="C498" s="24">
        <v>46</v>
      </c>
      <c r="D498" s="45">
        <v>43865</v>
      </c>
      <c r="E498" s="24">
        <f t="shared" si="7"/>
        <v>2</v>
      </c>
      <c r="F498" s="46">
        <v>800</v>
      </c>
      <c r="G498" s="24" t="s">
        <v>82</v>
      </c>
      <c r="H498" s="24" t="s">
        <v>202</v>
      </c>
      <c r="I498" s="24" t="s">
        <v>207</v>
      </c>
      <c r="J498" s="24" t="s">
        <v>222</v>
      </c>
      <c r="K498" s="24" t="s">
        <v>226</v>
      </c>
      <c r="L498" s="24" t="s">
        <v>230</v>
      </c>
      <c r="M498" s="24">
        <v>2</v>
      </c>
      <c r="N498" s="24" t="s">
        <v>73</v>
      </c>
      <c r="O498" s="24" t="s">
        <v>268</v>
      </c>
      <c r="P498" s="24" t="s">
        <v>262</v>
      </c>
      <c r="Q498" s="24" t="s">
        <v>288</v>
      </c>
      <c r="R498" s="24" t="s">
        <v>339</v>
      </c>
      <c r="S498" s="24" t="s">
        <v>314</v>
      </c>
      <c r="T498" s="24" t="s">
        <v>44</v>
      </c>
      <c r="U498" s="24" t="s">
        <v>113</v>
      </c>
    </row>
    <row r="499" spans="3:21" ht="21.9" customHeight="1" x14ac:dyDescent="0.3">
      <c r="C499" s="24">
        <v>45</v>
      </c>
      <c r="D499" s="45">
        <v>43864</v>
      </c>
      <c r="E499" s="24">
        <f t="shared" si="7"/>
        <v>2</v>
      </c>
      <c r="F499" s="46">
        <v>250</v>
      </c>
      <c r="G499" s="24" t="s">
        <v>81</v>
      </c>
      <c r="H499" s="24" t="s">
        <v>203</v>
      </c>
      <c r="I499" s="24" t="s">
        <v>207</v>
      </c>
      <c r="J499" s="24" t="s">
        <v>223</v>
      </c>
      <c r="K499" s="24" t="s">
        <v>226</v>
      </c>
      <c r="L499" s="24" t="s">
        <v>230</v>
      </c>
      <c r="M499" s="24">
        <v>1</v>
      </c>
      <c r="N499" s="24" t="s">
        <v>72</v>
      </c>
      <c r="O499" s="24" t="s">
        <v>250</v>
      </c>
      <c r="P499" s="24" t="s">
        <v>253</v>
      </c>
      <c r="Q499" s="24" t="s">
        <v>384</v>
      </c>
      <c r="R499" s="24" t="s">
        <v>345</v>
      </c>
      <c r="S499" s="24" t="s">
        <v>330</v>
      </c>
      <c r="T499" s="24" t="s">
        <v>44</v>
      </c>
      <c r="U499" s="24" t="s">
        <v>113</v>
      </c>
    </row>
    <row r="500" spans="3:21" ht="21.9" customHeight="1" x14ac:dyDescent="0.3">
      <c r="C500" s="24">
        <v>44</v>
      </c>
      <c r="D500" s="45">
        <v>43863</v>
      </c>
      <c r="E500" s="24">
        <f t="shared" si="7"/>
        <v>2</v>
      </c>
      <c r="F500" s="46">
        <v>120</v>
      </c>
      <c r="G500" s="24" t="s">
        <v>80</v>
      </c>
      <c r="H500" s="24" t="s">
        <v>204</v>
      </c>
      <c r="I500" s="24" t="s">
        <v>207</v>
      </c>
      <c r="J500" s="24" t="s">
        <v>221</v>
      </c>
      <c r="K500" s="24" t="s">
        <v>229</v>
      </c>
      <c r="L500" s="24" t="s">
        <v>221</v>
      </c>
      <c r="M500" s="24">
        <v>3</v>
      </c>
      <c r="N500" s="24" t="s">
        <v>51</v>
      </c>
      <c r="O500" s="24" t="s">
        <v>269</v>
      </c>
      <c r="P500" s="24" t="s">
        <v>262</v>
      </c>
      <c r="Q500" s="24" t="s">
        <v>288</v>
      </c>
      <c r="R500" s="24" t="s">
        <v>414</v>
      </c>
      <c r="S500" s="24" t="s">
        <v>490</v>
      </c>
      <c r="T500" s="24" t="s">
        <v>46</v>
      </c>
      <c r="U500" s="24" t="s">
        <v>113</v>
      </c>
    </row>
    <row r="501" spans="3:21" ht="21.9" customHeight="1" x14ac:dyDescent="0.3">
      <c r="C501" s="24">
        <v>43</v>
      </c>
      <c r="D501" s="45">
        <v>43862</v>
      </c>
      <c r="E501" s="24">
        <f t="shared" si="7"/>
        <v>2</v>
      </c>
      <c r="F501" s="46">
        <v>35</v>
      </c>
      <c r="G501" s="24" t="s">
        <v>79</v>
      </c>
      <c r="H501" s="24" t="s">
        <v>205</v>
      </c>
      <c r="I501" s="24" t="s">
        <v>207</v>
      </c>
      <c r="J501" s="24" t="s">
        <v>221</v>
      </c>
      <c r="K501" s="24" t="s">
        <v>229</v>
      </c>
      <c r="L501" s="24" t="s">
        <v>221</v>
      </c>
      <c r="M501" s="24">
        <v>1</v>
      </c>
      <c r="N501" s="24" t="s">
        <v>74</v>
      </c>
      <c r="O501" s="24" t="s">
        <v>270</v>
      </c>
      <c r="P501" s="24" t="s">
        <v>260</v>
      </c>
      <c r="Q501" s="24" t="s">
        <v>288</v>
      </c>
      <c r="R501" s="24" t="s">
        <v>68</v>
      </c>
      <c r="S501" s="24" t="s">
        <v>40</v>
      </c>
      <c r="T501" s="24" t="s">
        <v>46</v>
      </c>
      <c r="U501" s="24" t="s">
        <v>115</v>
      </c>
    </row>
    <row r="502" spans="3:21" ht="21.9" customHeight="1" x14ac:dyDescent="0.3">
      <c r="C502" s="24">
        <v>42</v>
      </c>
      <c r="D502" s="45">
        <v>43842</v>
      </c>
      <c r="E502" s="24">
        <f t="shared" si="7"/>
        <v>1</v>
      </c>
      <c r="F502" s="46">
        <v>80</v>
      </c>
      <c r="G502" s="24" t="s">
        <v>97</v>
      </c>
      <c r="H502" s="24" t="s">
        <v>189</v>
      </c>
      <c r="I502" s="24" t="s">
        <v>207</v>
      </c>
      <c r="J502" s="24" t="s">
        <v>211</v>
      </c>
      <c r="K502" s="24" t="s">
        <v>227</v>
      </c>
      <c r="L502" s="24" t="s">
        <v>186</v>
      </c>
      <c r="M502" s="24">
        <v>1</v>
      </c>
      <c r="N502" s="24" t="s">
        <v>76</v>
      </c>
      <c r="O502" s="24" t="s">
        <v>272</v>
      </c>
      <c r="P502" s="24" t="s">
        <v>245</v>
      </c>
      <c r="Q502" s="24" t="s">
        <v>288</v>
      </c>
      <c r="R502" s="24" t="s">
        <v>437</v>
      </c>
      <c r="S502" s="24" t="s">
        <v>494</v>
      </c>
      <c r="T502" s="24" t="s">
        <v>262</v>
      </c>
      <c r="U502" s="24" t="s">
        <v>113</v>
      </c>
    </row>
    <row r="503" spans="3:21" ht="21.9" customHeight="1" x14ac:dyDescent="0.3">
      <c r="C503" s="24">
        <v>41</v>
      </c>
      <c r="D503" s="45">
        <v>43841</v>
      </c>
      <c r="E503" s="24">
        <f t="shared" si="7"/>
        <v>1</v>
      </c>
      <c r="F503" s="46">
        <v>120</v>
      </c>
      <c r="G503" s="24" t="s">
        <v>96</v>
      </c>
      <c r="H503" s="24" t="s">
        <v>190</v>
      </c>
      <c r="I503" s="24" t="s">
        <v>208</v>
      </c>
      <c r="J503" s="24" t="s">
        <v>212</v>
      </c>
      <c r="K503" s="24" t="s">
        <v>227</v>
      </c>
      <c r="L503" s="24" t="s">
        <v>223</v>
      </c>
      <c r="M503" s="24">
        <v>2</v>
      </c>
      <c r="N503" s="24" t="s">
        <v>72</v>
      </c>
      <c r="O503" s="24" t="s">
        <v>250</v>
      </c>
      <c r="P503" s="24" t="s">
        <v>253</v>
      </c>
      <c r="Q503" s="24" t="s">
        <v>384</v>
      </c>
      <c r="R503" s="24" t="s">
        <v>62</v>
      </c>
      <c r="S503" s="24" t="s">
        <v>34</v>
      </c>
      <c r="T503" s="24" t="s">
        <v>47</v>
      </c>
      <c r="U503" s="24" t="s">
        <v>115</v>
      </c>
    </row>
    <row r="504" spans="3:21" ht="21.9" customHeight="1" x14ac:dyDescent="0.3">
      <c r="C504" s="24">
        <v>40</v>
      </c>
      <c r="D504" s="45">
        <v>43840</v>
      </c>
      <c r="E504" s="24">
        <f t="shared" si="7"/>
        <v>1</v>
      </c>
      <c r="F504" s="46">
        <v>300</v>
      </c>
      <c r="G504" s="24" t="s">
        <v>95</v>
      </c>
      <c r="H504" s="24" t="s">
        <v>191</v>
      </c>
      <c r="I504" s="24" t="s">
        <v>207</v>
      </c>
      <c r="J504" s="24" t="s">
        <v>222</v>
      </c>
      <c r="K504" s="24" t="s">
        <v>226</v>
      </c>
      <c r="L504" s="24" t="s">
        <v>231</v>
      </c>
      <c r="M504" s="24">
        <v>3</v>
      </c>
      <c r="N504" s="24" t="s">
        <v>380</v>
      </c>
      <c r="O504" s="24" t="s">
        <v>381</v>
      </c>
      <c r="P504" s="24" t="s">
        <v>46</v>
      </c>
      <c r="Q504" s="24" t="s">
        <v>384</v>
      </c>
      <c r="R504" s="24" t="s">
        <v>61</v>
      </c>
      <c r="S504" s="24" t="s">
        <v>33</v>
      </c>
      <c r="T504" s="24" t="s">
        <v>47</v>
      </c>
      <c r="U504" s="24" t="s">
        <v>113</v>
      </c>
    </row>
    <row r="505" spans="3:21" ht="21.9" customHeight="1" x14ac:dyDescent="0.3">
      <c r="C505" s="24">
        <v>39</v>
      </c>
      <c r="D505" s="45">
        <v>43839</v>
      </c>
      <c r="E505" s="24">
        <f t="shared" si="7"/>
        <v>1</v>
      </c>
      <c r="F505" s="46">
        <v>600</v>
      </c>
      <c r="G505" s="24" t="s">
        <v>94</v>
      </c>
      <c r="H505" s="24" t="s">
        <v>192</v>
      </c>
      <c r="I505" s="24" t="s">
        <v>207</v>
      </c>
      <c r="J505" s="24" t="s">
        <v>216</v>
      </c>
      <c r="K505" s="24" t="s">
        <v>187</v>
      </c>
      <c r="L505" s="24" t="s">
        <v>232</v>
      </c>
      <c r="M505" s="24">
        <v>2</v>
      </c>
      <c r="N505" s="24" t="s">
        <v>51</v>
      </c>
      <c r="O505" s="24" t="s">
        <v>269</v>
      </c>
      <c r="P505" s="24" t="s">
        <v>262</v>
      </c>
      <c r="Q505" s="24" t="s">
        <v>288</v>
      </c>
      <c r="R505" s="24" t="s">
        <v>52</v>
      </c>
      <c r="S505" s="24" t="s">
        <v>24</v>
      </c>
      <c r="T505" s="24" t="s">
        <v>44</v>
      </c>
      <c r="U505" s="24" t="s">
        <v>113</v>
      </c>
    </row>
    <row r="506" spans="3:21" ht="21.9" customHeight="1" x14ac:dyDescent="0.3">
      <c r="C506" s="24">
        <v>38</v>
      </c>
      <c r="D506" s="45">
        <v>43838</v>
      </c>
      <c r="E506" s="24">
        <f t="shared" si="7"/>
        <v>1</v>
      </c>
      <c r="F506" s="46">
        <v>350</v>
      </c>
      <c r="G506" s="24" t="s">
        <v>93</v>
      </c>
      <c r="H506" s="24" t="s">
        <v>193</v>
      </c>
      <c r="I506" s="24" t="s">
        <v>208</v>
      </c>
      <c r="J506" s="24" t="s">
        <v>218</v>
      </c>
      <c r="K506" s="24" t="s">
        <v>187</v>
      </c>
      <c r="L506" s="24" t="s">
        <v>186</v>
      </c>
      <c r="M506" s="24">
        <v>1</v>
      </c>
      <c r="N506" s="24" t="s">
        <v>74</v>
      </c>
      <c r="O506" s="24" t="s">
        <v>270</v>
      </c>
      <c r="P506" s="24" t="s">
        <v>260</v>
      </c>
      <c r="Q506" s="24" t="s">
        <v>288</v>
      </c>
      <c r="R506" s="24" t="s">
        <v>341</v>
      </c>
      <c r="S506" s="24" t="s">
        <v>320</v>
      </c>
      <c r="T506" s="24" t="s">
        <v>49</v>
      </c>
      <c r="U506" s="24" t="s">
        <v>113</v>
      </c>
    </row>
    <row r="507" spans="3:21" ht="21.9" customHeight="1" x14ac:dyDescent="0.3">
      <c r="C507" s="24">
        <v>37</v>
      </c>
      <c r="D507" s="45">
        <v>43837</v>
      </c>
      <c r="E507" s="24">
        <f t="shared" si="7"/>
        <v>1</v>
      </c>
      <c r="F507" s="46">
        <v>270</v>
      </c>
      <c r="G507" s="24" t="s">
        <v>92</v>
      </c>
      <c r="H507" s="24" t="s">
        <v>225</v>
      </c>
      <c r="I507" s="24" t="s">
        <v>207</v>
      </c>
      <c r="J507" s="24" t="s">
        <v>219</v>
      </c>
      <c r="K507" s="24" t="s">
        <v>226</v>
      </c>
      <c r="L507" s="24" t="s">
        <v>186</v>
      </c>
      <c r="M507" s="24">
        <v>1</v>
      </c>
      <c r="N507" s="24" t="s">
        <v>73</v>
      </c>
      <c r="O507" s="24" t="s">
        <v>268</v>
      </c>
      <c r="P507" s="24" t="s">
        <v>262</v>
      </c>
      <c r="Q507" s="24" t="s">
        <v>288</v>
      </c>
      <c r="R507" s="24" t="s">
        <v>58</v>
      </c>
      <c r="S507" s="24" t="s">
        <v>30</v>
      </c>
      <c r="T507" s="24" t="s">
        <v>46</v>
      </c>
      <c r="U507" s="24" t="s">
        <v>116</v>
      </c>
    </row>
    <row r="508" spans="3:21" ht="21.9" customHeight="1" x14ac:dyDescent="0.3">
      <c r="C508" s="24">
        <v>36</v>
      </c>
      <c r="D508" s="45">
        <v>43836</v>
      </c>
      <c r="E508" s="24">
        <f t="shared" si="7"/>
        <v>1</v>
      </c>
      <c r="F508" s="46">
        <v>1000</v>
      </c>
      <c r="G508" s="24" t="s">
        <v>91</v>
      </c>
      <c r="H508" s="24" t="s">
        <v>194</v>
      </c>
      <c r="I508" s="24" t="s">
        <v>209</v>
      </c>
      <c r="J508" s="24" t="s">
        <v>219</v>
      </c>
      <c r="K508" s="24" t="s">
        <v>187</v>
      </c>
      <c r="L508" s="24" t="s">
        <v>186</v>
      </c>
      <c r="M508" s="24">
        <v>2</v>
      </c>
      <c r="N508" s="24" t="s">
        <v>71</v>
      </c>
      <c r="O508" s="24" t="s">
        <v>271</v>
      </c>
      <c r="P508" s="24" t="s">
        <v>286</v>
      </c>
      <c r="Q508" s="24" t="s">
        <v>288</v>
      </c>
      <c r="R508" s="24" t="s">
        <v>54</v>
      </c>
      <c r="S508" s="24" t="s">
        <v>26</v>
      </c>
      <c r="T508" s="24" t="s">
        <v>46</v>
      </c>
      <c r="U508" s="24" t="s">
        <v>114</v>
      </c>
    </row>
    <row r="509" spans="3:21" ht="21.9" customHeight="1" x14ac:dyDescent="0.3">
      <c r="C509" s="24">
        <v>35</v>
      </c>
      <c r="D509" s="45">
        <v>43835</v>
      </c>
      <c r="E509" s="24">
        <f t="shared" si="7"/>
        <v>1</v>
      </c>
      <c r="F509" s="46">
        <v>1800</v>
      </c>
      <c r="G509" s="24" t="s">
        <v>90</v>
      </c>
      <c r="H509" s="24" t="s">
        <v>188</v>
      </c>
      <c r="I509" s="24" t="s">
        <v>209</v>
      </c>
      <c r="J509" s="24" t="s">
        <v>220</v>
      </c>
      <c r="K509" s="24" t="s">
        <v>187</v>
      </c>
      <c r="L509" s="24" t="s">
        <v>220</v>
      </c>
      <c r="M509" s="24">
        <v>2</v>
      </c>
      <c r="N509" s="24" t="s">
        <v>51</v>
      </c>
      <c r="O509" s="24" t="s">
        <v>269</v>
      </c>
      <c r="P509" s="24" t="s">
        <v>262</v>
      </c>
      <c r="Q509" s="24" t="s">
        <v>288</v>
      </c>
      <c r="R509" s="24" t="s">
        <v>70</v>
      </c>
      <c r="S509" s="24" t="s">
        <v>42</v>
      </c>
      <c r="T509" s="24" t="s">
        <v>47</v>
      </c>
      <c r="U509" s="24" t="s">
        <v>114</v>
      </c>
    </row>
    <row r="510" spans="3:21" ht="21.9" customHeight="1" x14ac:dyDescent="0.3">
      <c r="C510" s="24">
        <v>34</v>
      </c>
      <c r="D510" s="45">
        <v>43834</v>
      </c>
      <c r="E510" s="24">
        <f t="shared" si="7"/>
        <v>1</v>
      </c>
      <c r="F510" s="46">
        <v>180</v>
      </c>
      <c r="G510" s="24" t="s">
        <v>89</v>
      </c>
      <c r="H510" s="24" t="s">
        <v>195</v>
      </c>
      <c r="I510" s="24" t="s">
        <v>207</v>
      </c>
      <c r="J510" s="24" t="s">
        <v>223</v>
      </c>
      <c r="K510" s="24" t="s">
        <v>226</v>
      </c>
      <c r="L510" s="24" t="s">
        <v>220</v>
      </c>
      <c r="M510" s="24">
        <v>3</v>
      </c>
      <c r="N510" s="24" t="s">
        <v>71</v>
      </c>
      <c r="O510" s="24" t="s">
        <v>271</v>
      </c>
      <c r="P510" s="24" t="s">
        <v>286</v>
      </c>
      <c r="Q510" s="24" t="s">
        <v>288</v>
      </c>
      <c r="R510" s="24" t="s">
        <v>61</v>
      </c>
      <c r="S510" s="24" t="s">
        <v>33</v>
      </c>
      <c r="T510" s="24" t="s">
        <v>47</v>
      </c>
      <c r="U510" s="24" t="s">
        <v>113</v>
      </c>
    </row>
    <row r="511" spans="3:21" ht="21.9" customHeight="1" x14ac:dyDescent="0.3">
      <c r="C511" s="24">
        <v>33</v>
      </c>
      <c r="D511" s="45">
        <v>43833</v>
      </c>
      <c r="E511" s="24">
        <f t="shared" si="7"/>
        <v>1</v>
      </c>
      <c r="F511" s="46">
        <v>70</v>
      </c>
      <c r="G511" s="24" t="s">
        <v>88</v>
      </c>
      <c r="H511" s="24" t="s">
        <v>196</v>
      </c>
      <c r="I511" s="24" t="s">
        <v>208</v>
      </c>
      <c r="J511" s="24" t="s">
        <v>216</v>
      </c>
      <c r="K511" s="24" t="s">
        <v>226</v>
      </c>
      <c r="L511" s="24" t="s">
        <v>230</v>
      </c>
      <c r="M511" s="24">
        <v>1</v>
      </c>
      <c r="N511" s="24" t="s">
        <v>51</v>
      </c>
      <c r="O511" s="24" t="s">
        <v>269</v>
      </c>
      <c r="P511" s="24" t="s">
        <v>262</v>
      </c>
      <c r="Q511" s="24" t="s">
        <v>288</v>
      </c>
      <c r="R511" s="24" t="s">
        <v>346</v>
      </c>
      <c r="S511" s="24" t="s">
        <v>333</v>
      </c>
      <c r="T511" s="24" t="s">
        <v>47</v>
      </c>
      <c r="U511" s="24" t="s">
        <v>114</v>
      </c>
    </row>
    <row r="512" spans="3:21" ht="21.9" customHeight="1" x14ac:dyDescent="0.3">
      <c r="C512" s="24">
        <v>32</v>
      </c>
      <c r="D512" s="45">
        <v>43832</v>
      </c>
      <c r="E512" s="24">
        <f t="shared" si="7"/>
        <v>1</v>
      </c>
      <c r="F512" s="46">
        <v>228</v>
      </c>
      <c r="G512" s="24" t="s">
        <v>87</v>
      </c>
      <c r="H512" s="24" t="s">
        <v>197</v>
      </c>
      <c r="I512" s="24" t="s">
        <v>208</v>
      </c>
      <c r="J512" s="24" t="s">
        <v>222</v>
      </c>
      <c r="K512" s="24" t="s">
        <v>226</v>
      </c>
      <c r="L512" s="24" t="s">
        <v>230</v>
      </c>
      <c r="M512" s="24">
        <v>3</v>
      </c>
      <c r="N512" s="24" t="s">
        <v>71</v>
      </c>
      <c r="O512" s="24" t="s">
        <v>271</v>
      </c>
      <c r="P512" s="24" t="s">
        <v>286</v>
      </c>
      <c r="Q512" s="24" t="s">
        <v>288</v>
      </c>
      <c r="R512" s="24" t="s">
        <v>70</v>
      </c>
      <c r="S512" s="24" t="s">
        <v>42</v>
      </c>
      <c r="T512" s="24" t="s">
        <v>47</v>
      </c>
      <c r="U512" s="24" t="s">
        <v>114</v>
      </c>
    </row>
    <row r="513" spans="3:21" ht="21.9" customHeight="1" x14ac:dyDescent="0.3">
      <c r="C513" s="24">
        <v>31</v>
      </c>
      <c r="D513" s="45">
        <v>43831</v>
      </c>
      <c r="E513" s="24">
        <f t="shared" si="7"/>
        <v>1</v>
      </c>
      <c r="F513" s="46">
        <v>1200</v>
      </c>
      <c r="G513" s="24" t="s">
        <v>86</v>
      </c>
      <c r="H513" s="24" t="s">
        <v>198</v>
      </c>
      <c r="I513" s="24" t="s">
        <v>207</v>
      </c>
      <c r="J513" s="24" t="s">
        <v>224</v>
      </c>
      <c r="K513" s="24" t="s">
        <v>228</v>
      </c>
      <c r="L513" s="24" t="s">
        <v>230</v>
      </c>
      <c r="M513" s="24">
        <v>2</v>
      </c>
      <c r="N513" s="24" t="s">
        <v>74</v>
      </c>
      <c r="O513" s="24" t="s">
        <v>270</v>
      </c>
      <c r="P513" s="24" t="s">
        <v>260</v>
      </c>
      <c r="Q513" s="24" t="s">
        <v>288</v>
      </c>
      <c r="R513" s="24" t="s">
        <v>437</v>
      </c>
      <c r="S513" s="24" t="s">
        <v>494</v>
      </c>
      <c r="T513" s="24" t="s">
        <v>262</v>
      </c>
      <c r="U513" s="24" t="s">
        <v>113</v>
      </c>
    </row>
    <row r="514" spans="3:21" ht="21.9" customHeight="1" x14ac:dyDescent="0.3">
      <c r="C514" s="24">
        <v>30</v>
      </c>
      <c r="D514" s="45">
        <v>43860</v>
      </c>
      <c r="E514" s="24">
        <f t="shared" si="7"/>
        <v>1</v>
      </c>
      <c r="F514" s="46">
        <v>510</v>
      </c>
      <c r="G514" s="24" t="s">
        <v>85</v>
      </c>
      <c r="H514" s="24" t="s">
        <v>199</v>
      </c>
      <c r="I514" s="24" t="s">
        <v>209</v>
      </c>
      <c r="J514" s="24" t="s">
        <v>216</v>
      </c>
      <c r="K514" s="24" t="s">
        <v>228</v>
      </c>
      <c r="L514" s="24" t="s">
        <v>221</v>
      </c>
      <c r="M514" s="24">
        <v>3</v>
      </c>
      <c r="N514" s="24" t="s">
        <v>380</v>
      </c>
      <c r="O514" s="24" t="s">
        <v>381</v>
      </c>
      <c r="P514" s="24" t="s">
        <v>46</v>
      </c>
      <c r="Q514" s="24" t="s">
        <v>384</v>
      </c>
      <c r="R514" s="24" t="s">
        <v>454</v>
      </c>
      <c r="S514" s="24" t="s">
        <v>497</v>
      </c>
      <c r="T514" s="24" t="s">
        <v>253</v>
      </c>
      <c r="U514" s="24" t="s">
        <v>113</v>
      </c>
    </row>
    <row r="515" spans="3:21" ht="21.9" customHeight="1" x14ac:dyDescent="0.3">
      <c r="C515" s="24">
        <v>29</v>
      </c>
      <c r="D515" s="45">
        <v>43859</v>
      </c>
      <c r="E515" s="24">
        <f t="shared" si="7"/>
        <v>1</v>
      </c>
      <c r="F515" s="46">
        <v>800</v>
      </c>
      <c r="G515" s="24" t="s">
        <v>84</v>
      </c>
      <c r="H515" s="24" t="s">
        <v>200</v>
      </c>
      <c r="I515" s="24" t="s">
        <v>208</v>
      </c>
      <c r="J515" s="24" t="s">
        <v>222</v>
      </c>
      <c r="K515" s="24" t="s">
        <v>228</v>
      </c>
      <c r="L515" s="24" t="s">
        <v>220</v>
      </c>
      <c r="M515" s="24">
        <v>2</v>
      </c>
      <c r="N515" s="24" t="s">
        <v>75</v>
      </c>
      <c r="O515" s="24" t="s">
        <v>26</v>
      </c>
      <c r="P515" s="24" t="s">
        <v>249</v>
      </c>
      <c r="Q515" s="24" t="s">
        <v>289</v>
      </c>
      <c r="R515" s="24" t="s">
        <v>67</v>
      </c>
      <c r="S515" s="24" t="s">
        <v>39</v>
      </c>
      <c r="T515" s="24" t="s">
        <v>45</v>
      </c>
      <c r="U515" s="24" t="s">
        <v>116</v>
      </c>
    </row>
    <row r="516" spans="3:21" ht="21.9" customHeight="1" x14ac:dyDescent="0.3">
      <c r="C516" s="24">
        <v>28</v>
      </c>
      <c r="D516" s="45">
        <v>43858</v>
      </c>
      <c r="E516" s="24">
        <f t="shared" si="7"/>
        <v>1</v>
      </c>
      <c r="F516" s="46">
        <v>2400</v>
      </c>
      <c r="G516" s="24" t="s">
        <v>83</v>
      </c>
      <c r="H516" s="24" t="s">
        <v>201</v>
      </c>
      <c r="I516" s="24" t="s">
        <v>208</v>
      </c>
      <c r="J516" s="24" t="s">
        <v>222</v>
      </c>
      <c r="K516" s="24" t="s">
        <v>226</v>
      </c>
      <c r="L516" s="24" t="s">
        <v>230</v>
      </c>
      <c r="M516" s="24">
        <v>3</v>
      </c>
      <c r="N516" s="24" t="s">
        <v>75</v>
      </c>
      <c r="O516" s="24" t="s">
        <v>26</v>
      </c>
      <c r="P516" s="24" t="s">
        <v>249</v>
      </c>
      <c r="Q516" s="24" t="s">
        <v>289</v>
      </c>
      <c r="R516" s="24" t="s">
        <v>57</v>
      </c>
      <c r="S516" s="24" t="s">
        <v>29</v>
      </c>
      <c r="T516" s="24" t="s">
        <v>49</v>
      </c>
      <c r="U516" s="24" t="s">
        <v>113</v>
      </c>
    </row>
    <row r="517" spans="3:21" ht="21.9" customHeight="1" x14ac:dyDescent="0.3">
      <c r="C517" s="24">
        <v>27</v>
      </c>
      <c r="D517" s="45">
        <v>43857</v>
      </c>
      <c r="E517" s="24">
        <f t="shared" si="7"/>
        <v>1</v>
      </c>
      <c r="F517" s="46">
        <v>1200</v>
      </c>
      <c r="G517" s="24" t="s">
        <v>82</v>
      </c>
      <c r="H517" s="24" t="s">
        <v>202</v>
      </c>
      <c r="I517" s="24" t="s">
        <v>207</v>
      </c>
      <c r="J517" s="24" t="s">
        <v>222</v>
      </c>
      <c r="K517" s="24" t="s">
        <v>226</v>
      </c>
      <c r="L517" s="24" t="s">
        <v>230</v>
      </c>
      <c r="M517" s="24">
        <v>3</v>
      </c>
      <c r="N517" s="24" t="s">
        <v>77</v>
      </c>
      <c r="O517" s="24" t="s">
        <v>273</v>
      </c>
      <c r="P517" s="24" t="s">
        <v>241</v>
      </c>
      <c r="Q517" s="24" t="s">
        <v>287</v>
      </c>
      <c r="R517" s="24" t="s">
        <v>54</v>
      </c>
      <c r="S517" s="24" t="s">
        <v>26</v>
      </c>
      <c r="T517" s="24" t="s">
        <v>46</v>
      </c>
      <c r="U517" s="24" t="s">
        <v>114</v>
      </c>
    </row>
    <row r="518" spans="3:21" ht="21.9" customHeight="1" x14ac:dyDescent="0.3">
      <c r="C518" s="24">
        <v>26</v>
      </c>
      <c r="D518" s="45">
        <v>43856</v>
      </c>
      <c r="E518" s="24">
        <f t="shared" si="7"/>
        <v>1</v>
      </c>
      <c r="F518" s="46">
        <v>250</v>
      </c>
      <c r="G518" s="24" t="s">
        <v>81</v>
      </c>
      <c r="H518" s="24" t="s">
        <v>203</v>
      </c>
      <c r="I518" s="24" t="s">
        <v>207</v>
      </c>
      <c r="J518" s="24" t="s">
        <v>223</v>
      </c>
      <c r="K518" s="24" t="s">
        <v>226</v>
      </c>
      <c r="L518" s="24" t="s">
        <v>230</v>
      </c>
      <c r="M518" s="24">
        <v>1</v>
      </c>
      <c r="N518" s="24" t="s">
        <v>73</v>
      </c>
      <c r="O518" s="24" t="s">
        <v>268</v>
      </c>
      <c r="P518" s="24" t="s">
        <v>262</v>
      </c>
      <c r="Q518" s="24" t="s">
        <v>288</v>
      </c>
      <c r="R518" s="24" t="s">
        <v>58</v>
      </c>
      <c r="S518" s="24" t="s">
        <v>30</v>
      </c>
      <c r="T518" s="24" t="s">
        <v>46</v>
      </c>
      <c r="U518" s="24" t="s">
        <v>116</v>
      </c>
    </row>
    <row r="519" spans="3:21" ht="21.9" customHeight="1" x14ac:dyDescent="0.3">
      <c r="C519" s="24">
        <v>25</v>
      </c>
      <c r="D519" s="45">
        <v>43855</v>
      </c>
      <c r="E519" s="24">
        <f t="shared" si="7"/>
        <v>1</v>
      </c>
      <c r="F519" s="46">
        <v>120</v>
      </c>
      <c r="G519" s="24" t="s">
        <v>80</v>
      </c>
      <c r="H519" s="24" t="s">
        <v>204</v>
      </c>
      <c r="I519" s="24" t="s">
        <v>207</v>
      </c>
      <c r="J519" s="24" t="s">
        <v>221</v>
      </c>
      <c r="K519" s="24" t="s">
        <v>229</v>
      </c>
      <c r="L519" s="24" t="s">
        <v>221</v>
      </c>
      <c r="M519" s="24">
        <v>3</v>
      </c>
      <c r="N519" s="24" t="s">
        <v>71</v>
      </c>
      <c r="O519" s="24" t="s">
        <v>271</v>
      </c>
      <c r="P519" s="24" t="s">
        <v>286</v>
      </c>
      <c r="Q519" s="24" t="s">
        <v>288</v>
      </c>
      <c r="R519" s="24" t="s">
        <v>63</v>
      </c>
      <c r="S519" s="24" t="s">
        <v>35</v>
      </c>
      <c r="T519" s="24" t="s">
        <v>45</v>
      </c>
      <c r="U519" s="24" t="s">
        <v>113</v>
      </c>
    </row>
    <row r="520" spans="3:21" ht="21.9" customHeight="1" x14ac:dyDescent="0.3">
      <c r="C520" s="24">
        <v>24</v>
      </c>
      <c r="D520" s="45">
        <v>43854</v>
      </c>
      <c r="E520" s="24">
        <f t="shared" si="7"/>
        <v>1</v>
      </c>
      <c r="F520" s="46">
        <v>35</v>
      </c>
      <c r="G520" s="24" t="s">
        <v>79</v>
      </c>
      <c r="H520" s="24" t="s">
        <v>205</v>
      </c>
      <c r="I520" s="24" t="s">
        <v>207</v>
      </c>
      <c r="J520" s="24" t="s">
        <v>221</v>
      </c>
      <c r="K520" s="24" t="s">
        <v>229</v>
      </c>
      <c r="L520" s="24" t="s">
        <v>221</v>
      </c>
      <c r="M520" s="24">
        <v>1</v>
      </c>
      <c r="N520" s="24" t="s">
        <v>71</v>
      </c>
      <c r="O520" s="24" t="s">
        <v>271</v>
      </c>
      <c r="P520" s="24" t="s">
        <v>286</v>
      </c>
      <c r="Q520" s="24" t="s">
        <v>288</v>
      </c>
      <c r="R520" s="24" t="s">
        <v>50</v>
      </c>
      <c r="S520" s="24" t="s">
        <v>291</v>
      </c>
      <c r="T520" s="24" t="s">
        <v>46</v>
      </c>
      <c r="U520" s="24" t="s">
        <v>294</v>
      </c>
    </row>
    <row r="521" spans="3:21" ht="21.9" customHeight="1" x14ac:dyDescent="0.3">
      <c r="C521" s="24">
        <v>23</v>
      </c>
      <c r="D521" s="45">
        <v>43853</v>
      </c>
      <c r="E521" s="24">
        <f t="shared" si="7"/>
        <v>1</v>
      </c>
      <c r="F521" s="46">
        <v>30</v>
      </c>
      <c r="G521" s="24" t="s">
        <v>78</v>
      </c>
      <c r="H521" s="24" t="s">
        <v>206</v>
      </c>
      <c r="I521" s="24" t="s">
        <v>207</v>
      </c>
      <c r="J521" s="24" t="s">
        <v>221</v>
      </c>
      <c r="K521" s="24" t="s">
        <v>229</v>
      </c>
      <c r="L521" s="24" t="s">
        <v>221</v>
      </c>
      <c r="M521" s="24">
        <v>1</v>
      </c>
      <c r="N521" s="24" t="s">
        <v>77</v>
      </c>
      <c r="O521" s="24" t="s">
        <v>273</v>
      </c>
      <c r="P521" s="24" t="s">
        <v>241</v>
      </c>
      <c r="Q521" s="24" t="s">
        <v>287</v>
      </c>
      <c r="R521" s="24" t="s">
        <v>62</v>
      </c>
      <c r="S521" s="24" t="s">
        <v>34</v>
      </c>
      <c r="T521" s="24" t="s">
        <v>47</v>
      </c>
      <c r="U521" s="24" t="s">
        <v>115</v>
      </c>
    </row>
    <row r="522" spans="3:21" ht="21.9" customHeight="1" x14ac:dyDescent="0.3">
      <c r="C522" s="24">
        <v>22</v>
      </c>
      <c r="D522" s="45">
        <v>43852</v>
      </c>
      <c r="E522" s="24">
        <f>MONTH(D522)</f>
        <v>1</v>
      </c>
      <c r="F522" s="46">
        <v>3200</v>
      </c>
      <c r="G522" s="24" t="s">
        <v>121</v>
      </c>
      <c r="H522" s="24" t="s">
        <v>183</v>
      </c>
      <c r="I522" s="24" t="s">
        <v>207</v>
      </c>
      <c r="J522" s="24" t="s">
        <v>210</v>
      </c>
      <c r="K522" s="24" t="s">
        <v>184</v>
      </c>
      <c r="L522" s="24" t="s">
        <v>230</v>
      </c>
      <c r="M522" s="24">
        <v>2</v>
      </c>
      <c r="N522" s="24" t="s">
        <v>72</v>
      </c>
      <c r="O522" s="24" t="s">
        <v>250</v>
      </c>
      <c r="P522" s="24" t="s">
        <v>253</v>
      </c>
      <c r="Q522" s="24" t="s">
        <v>384</v>
      </c>
      <c r="R522" s="24" t="s">
        <v>476</v>
      </c>
      <c r="S522" s="24" t="s">
        <v>477</v>
      </c>
      <c r="T522" s="24" t="s">
        <v>253</v>
      </c>
      <c r="U522" s="24" t="s">
        <v>113</v>
      </c>
    </row>
    <row r="523" spans="3:21" ht="21.9" customHeight="1" x14ac:dyDescent="0.3">
      <c r="C523" s="24">
        <v>21</v>
      </c>
      <c r="D523" s="45">
        <v>43851</v>
      </c>
      <c r="E523" s="24">
        <f t="shared" si="7"/>
        <v>1</v>
      </c>
      <c r="F523" s="46">
        <v>5600</v>
      </c>
      <c r="G523" s="24" t="s">
        <v>120</v>
      </c>
      <c r="H523" s="24" t="s">
        <v>185</v>
      </c>
      <c r="I523" s="24" t="s">
        <v>207</v>
      </c>
      <c r="J523" s="24" t="s">
        <v>210</v>
      </c>
      <c r="K523" s="24" t="s">
        <v>184</v>
      </c>
      <c r="L523" s="24" t="s">
        <v>230</v>
      </c>
      <c r="M523" s="24">
        <v>2</v>
      </c>
      <c r="N523" s="24" t="s">
        <v>380</v>
      </c>
      <c r="O523" s="24" t="s">
        <v>381</v>
      </c>
      <c r="P523" s="24" t="s">
        <v>46</v>
      </c>
      <c r="Q523" s="24" t="s">
        <v>384</v>
      </c>
      <c r="R523" s="24" t="s">
        <v>68</v>
      </c>
      <c r="S523" s="24" t="s">
        <v>40</v>
      </c>
      <c r="T523" s="24" t="s">
        <v>46</v>
      </c>
      <c r="U523" s="24" t="s">
        <v>115</v>
      </c>
    </row>
    <row r="524" spans="3:21" ht="21.9" customHeight="1" x14ac:dyDescent="0.3">
      <c r="C524" s="24">
        <v>20</v>
      </c>
      <c r="D524" s="45">
        <v>43850</v>
      </c>
      <c r="E524" s="24">
        <f t="shared" si="7"/>
        <v>1</v>
      </c>
      <c r="F524" s="46">
        <v>240</v>
      </c>
      <c r="G524" s="24" t="s">
        <v>97</v>
      </c>
      <c r="H524" s="24" t="s">
        <v>189</v>
      </c>
      <c r="I524" s="24" t="s">
        <v>207</v>
      </c>
      <c r="J524" s="24" t="s">
        <v>211</v>
      </c>
      <c r="K524" s="24" t="s">
        <v>227</v>
      </c>
      <c r="L524" s="24" t="s">
        <v>186</v>
      </c>
      <c r="M524" s="24">
        <v>3</v>
      </c>
      <c r="N524" s="24" t="s">
        <v>74</v>
      </c>
      <c r="O524" s="24" t="s">
        <v>270</v>
      </c>
      <c r="P524" s="24" t="s">
        <v>260</v>
      </c>
      <c r="Q524" s="24" t="s">
        <v>288</v>
      </c>
      <c r="R524" s="24" t="s">
        <v>465</v>
      </c>
      <c r="S524" s="24" t="s">
        <v>499</v>
      </c>
      <c r="T524" s="24" t="s">
        <v>249</v>
      </c>
      <c r="U524" s="24" t="s">
        <v>113</v>
      </c>
    </row>
    <row r="525" spans="3:21" ht="21.9" customHeight="1" x14ac:dyDescent="0.3">
      <c r="C525" s="24">
        <v>19</v>
      </c>
      <c r="D525" s="45">
        <v>43849</v>
      </c>
      <c r="E525" s="24">
        <f t="shared" si="7"/>
        <v>1</v>
      </c>
      <c r="F525" s="46">
        <v>180</v>
      </c>
      <c r="G525" s="24" t="s">
        <v>96</v>
      </c>
      <c r="H525" s="24" t="s">
        <v>190</v>
      </c>
      <c r="I525" s="24" t="s">
        <v>208</v>
      </c>
      <c r="J525" s="24" t="s">
        <v>212</v>
      </c>
      <c r="K525" s="24" t="s">
        <v>227</v>
      </c>
      <c r="L525" s="24" t="s">
        <v>223</v>
      </c>
      <c r="M525" s="24">
        <v>3</v>
      </c>
      <c r="N525" s="24" t="s">
        <v>74</v>
      </c>
      <c r="O525" s="24" t="s">
        <v>270</v>
      </c>
      <c r="P525" s="24" t="s">
        <v>260</v>
      </c>
      <c r="Q525" s="24" t="s">
        <v>288</v>
      </c>
      <c r="R525" s="24" t="s">
        <v>67</v>
      </c>
      <c r="S525" s="24" t="s">
        <v>39</v>
      </c>
      <c r="T525" s="24" t="s">
        <v>45</v>
      </c>
      <c r="U525" s="24" t="s">
        <v>116</v>
      </c>
    </row>
    <row r="526" spans="3:21" ht="21.9" customHeight="1" x14ac:dyDescent="0.3">
      <c r="C526" s="24">
        <v>18</v>
      </c>
      <c r="D526" s="45">
        <v>43848</v>
      </c>
      <c r="E526" s="24">
        <f t="shared" si="7"/>
        <v>1</v>
      </c>
      <c r="F526" s="46">
        <v>100</v>
      </c>
      <c r="G526" s="24" t="s">
        <v>95</v>
      </c>
      <c r="H526" s="24" t="s">
        <v>191</v>
      </c>
      <c r="I526" s="24" t="s">
        <v>207</v>
      </c>
      <c r="J526" s="24" t="s">
        <v>222</v>
      </c>
      <c r="K526" s="24" t="s">
        <v>226</v>
      </c>
      <c r="L526" s="24" t="s">
        <v>231</v>
      </c>
      <c r="M526" s="24">
        <v>1</v>
      </c>
      <c r="N526" s="24" t="s">
        <v>71</v>
      </c>
      <c r="O526" s="24" t="s">
        <v>271</v>
      </c>
      <c r="P526" s="24" t="s">
        <v>286</v>
      </c>
      <c r="Q526" s="24" t="s">
        <v>288</v>
      </c>
      <c r="R526" s="24" t="s">
        <v>65</v>
      </c>
      <c r="S526" s="24" t="s">
        <v>37</v>
      </c>
      <c r="T526" s="24" t="s">
        <v>48</v>
      </c>
      <c r="U526" s="24" t="s">
        <v>113</v>
      </c>
    </row>
    <row r="527" spans="3:21" ht="21.9" customHeight="1" x14ac:dyDescent="0.3">
      <c r="C527" s="24">
        <v>17</v>
      </c>
      <c r="D527" s="45">
        <v>43847</v>
      </c>
      <c r="E527" s="24">
        <f t="shared" si="7"/>
        <v>1</v>
      </c>
      <c r="F527" s="46">
        <v>600</v>
      </c>
      <c r="G527" s="24" t="s">
        <v>94</v>
      </c>
      <c r="H527" s="24" t="s">
        <v>192</v>
      </c>
      <c r="I527" s="24" t="s">
        <v>207</v>
      </c>
      <c r="J527" s="24" t="s">
        <v>216</v>
      </c>
      <c r="K527" s="24" t="s">
        <v>187</v>
      </c>
      <c r="L527" s="24" t="s">
        <v>232</v>
      </c>
      <c r="M527" s="24">
        <v>2</v>
      </c>
      <c r="N527" s="24" t="s">
        <v>51</v>
      </c>
      <c r="O527" s="24" t="s">
        <v>269</v>
      </c>
      <c r="P527" s="24" t="s">
        <v>262</v>
      </c>
      <c r="Q527" s="24" t="s">
        <v>288</v>
      </c>
      <c r="R527" s="24" t="s">
        <v>342</v>
      </c>
      <c r="S527" s="24" t="s">
        <v>323</v>
      </c>
      <c r="T527" s="24" t="s">
        <v>46</v>
      </c>
      <c r="U527" s="24" t="s">
        <v>115</v>
      </c>
    </row>
    <row r="528" spans="3:21" ht="21.9" customHeight="1" x14ac:dyDescent="0.3">
      <c r="C528" s="24">
        <v>16</v>
      </c>
      <c r="D528" s="45">
        <v>43846</v>
      </c>
      <c r="E528" s="24">
        <f t="shared" si="7"/>
        <v>1</v>
      </c>
      <c r="F528" s="46">
        <v>350</v>
      </c>
      <c r="G528" s="24" t="s">
        <v>93</v>
      </c>
      <c r="H528" s="24" t="s">
        <v>193</v>
      </c>
      <c r="I528" s="24" t="s">
        <v>208</v>
      </c>
      <c r="J528" s="24" t="s">
        <v>218</v>
      </c>
      <c r="K528" s="24" t="s">
        <v>187</v>
      </c>
      <c r="L528" s="24" t="s">
        <v>186</v>
      </c>
      <c r="M528" s="24">
        <v>1</v>
      </c>
      <c r="N528" s="24" t="s">
        <v>76</v>
      </c>
      <c r="O528" s="24" t="s">
        <v>272</v>
      </c>
      <c r="P528" s="24" t="s">
        <v>245</v>
      </c>
      <c r="Q528" s="24" t="s">
        <v>288</v>
      </c>
      <c r="R528" s="24" t="s">
        <v>409</v>
      </c>
      <c r="S528" s="24" t="s">
        <v>489</v>
      </c>
      <c r="T528" s="24" t="s">
        <v>245</v>
      </c>
      <c r="U528" s="24" t="s">
        <v>113</v>
      </c>
    </row>
    <row r="529" spans="3:21" ht="21.9" customHeight="1" x14ac:dyDescent="0.3">
      <c r="C529" s="24">
        <v>15</v>
      </c>
      <c r="D529" s="45">
        <v>43845</v>
      </c>
      <c r="E529" s="24">
        <f t="shared" si="7"/>
        <v>1</v>
      </c>
      <c r="F529" s="46">
        <v>270</v>
      </c>
      <c r="G529" s="24" t="s">
        <v>92</v>
      </c>
      <c r="H529" s="24" t="s">
        <v>225</v>
      </c>
      <c r="I529" s="24" t="s">
        <v>207</v>
      </c>
      <c r="J529" s="24" t="s">
        <v>219</v>
      </c>
      <c r="K529" s="24" t="s">
        <v>226</v>
      </c>
      <c r="L529" s="24" t="s">
        <v>186</v>
      </c>
      <c r="M529" s="24">
        <v>1</v>
      </c>
      <c r="N529" s="24" t="s">
        <v>75</v>
      </c>
      <c r="O529" s="24" t="s">
        <v>26</v>
      </c>
      <c r="P529" s="24" t="s">
        <v>249</v>
      </c>
      <c r="Q529" s="24" t="s">
        <v>289</v>
      </c>
      <c r="R529" s="24" t="s">
        <v>62</v>
      </c>
      <c r="S529" s="24" t="s">
        <v>34</v>
      </c>
      <c r="T529" s="24" t="s">
        <v>47</v>
      </c>
      <c r="U529" s="24" t="s">
        <v>115</v>
      </c>
    </row>
    <row r="530" spans="3:21" ht="21.9" customHeight="1" x14ac:dyDescent="0.3">
      <c r="C530" s="24">
        <v>14</v>
      </c>
      <c r="D530" s="45">
        <v>43844</v>
      </c>
      <c r="E530" s="24">
        <f t="shared" si="7"/>
        <v>1</v>
      </c>
      <c r="F530" s="46">
        <v>1500</v>
      </c>
      <c r="G530" s="24" t="s">
        <v>91</v>
      </c>
      <c r="H530" s="24" t="s">
        <v>194</v>
      </c>
      <c r="I530" s="24" t="s">
        <v>209</v>
      </c>
      <c r="J530" s="24" t="s">
        <v>219</v>
      </c>
      <c r="K530" s="24" t="s">
        <v>187</v>
      </c>
      <c r="L530" s="24" t="s">
        <v>186</v>
      </c>
      <c r="M530" s="24">
        <v>3</v>
      </c>
      <c r="N530" s="24" t="s">
        <v>74</v>
      </c>
      <c r="O530" s="24" t="s">
        <v>270</v>
      </c>
      <c r="P530" s="24" t="s">
        <v>260</v>
      </c>
      <c r="Q530" s="24" t="s">
        <v>288</v>
      </c>
      <c r="R530" s="24" t="s">
        <v>55</v>
      </c>
      <c r="S530" s="24" t="s">
        <v>27</v>
      </c>
      <c r="T530" s="24" t="s">
        <v>47</v>
      </c>
      <c r="U530" s="24" t="s">
        <v>113</v>
      </c>
    </row>
    <row r="531" spans="3:21" ht="21.9" customHeight="1" x14ac:dyDescent="0.3">
      <c r="C531" s="24">
        <v>13</v>
      </c>
      <c r="D531" s="45">
        <v>43843</v>
      </c>
      <c r="E531" s="24">
        <f t="shared" si="7"/>
        <v>1</v>
      </c>
      <c r="F531" s="46">
        <v>1800</v>
      </c>
      <c r="G531" s="24" t="s">
        <v>90</v>
      </c>
      <c r="H531" s="24" t="s">
        <v>188</v>
      </c>
      <c r="I531" s="24" t="s">
        <v>209</v>
      </c>
      <c r="J531" s="24" t="s">
        <v>220</v>
      </c>
      <c r="K531" s="24" t="s">
        <v>187</v>
      </c>
      <c r="L531" s="24" t="s">
        <v>220</v>
      </c>
      <c r="M531" s="24">
        <v>2</v>
      </c>
      <c r="N531" s="24" t="s">
        <v>71</v>
      </c>
      <c r="O531" s="24" t="s">
        <v>271</v>
      </c>
      <c r="P531" s="24" t="s">
        <v>286</v>
      </c>
      <c r="Q531" s="24" t="s">
        <v>288</v>
      </c>
      <c r="R531" s="24" t="s">
        <v>61</v>
      </c>
      <c r="S531" s="24" t="s">
        <v>33</v>
      </c>
      <c r="T531" s="24" t="s">
        <v>47</v>
      </c>
      <c r="U531" s="24" t="s">
        <v>113</v>
      </c>
    </row>
    <row r="532" spans="3:21" ht="21.9" customHeight="1" x14ac:dyDescent="0.3">
      <c r="C532" s="24">
        <v>12</v>
      </c>
      <c r="D532" s="45">
        <v>43842</v>
      </c>
      <c r="E532" s="24">
        <f t="shared" si="7"/>
        <v>1</v>
      </c>
      <c r="F532" s="46">
        <v>120</v>
      </c>
      <c r="G532" s="24" t="s">
        <v>89</v>
      </c>
      <c r="H532" s="24" t="s">
        <v>195</v>
      </c>
      <c r="I532" s="24" t="s">
        <v>207</v>
      </c>
      <c r="J532" s="24" t="s">
        <v>223</v>
      </c>
      <c r="K532" s="24" t="s">
        <v>226</v>
      </c>
      <c r="L532" s="24" t="s">
        <v>220</v>
      </c>
      <c r="M532" s="24">
        <v>2</v>
      </c>
      <c r="N532" s="24" t="s">
        <v>51</v>
      </c>
      <c r="O532" s="24" t="s">
        <v>269</v>
      </c>
      <c r="P532" s="24" t="s">
        <v>262</v>
      </c>
      <c r="Q532" s="24" t="s">
        <v>288</v>
      </c>
      <c r="R532" s="24" t="s">
        <v>62</v>
      </c>
      <c r="S532" s="24" t="s">
        <v>34</v>
      </c>
      <c r="T532" s="24" t="s">
        <v>47</v>
      </c>
      <c r="U532" s="24" t="s">
        <v>115</v>
      </c>
    </row>
    <row r="533" spans="3:21" ht="21.9" customHeight="1" x14ac:dyDescent="0.3">
      <c r="C533" s="24">
        <v>11</v>
      </c>
      <c r="D533" s="45">
        <v>43841</v>
      </c>
      <c r="E533" s="24">
        <f t="shared" si="7"/>
        <v>1</v>
      </c>
      <c r="F533" s="46">
        <v>70</v>
      </c>
      <c r="G533" s="24" t="s">
        <v>88</v>
      </c>
      <c r="H533" s="24" t="s">
        <v>196</v>
      </c>
      <c r="I533" s="24" t="s">
        <v>208</v>
      </c>
      <c r="J533" s="24" t="s">
        <v>216</v>
      </c>
      <c r="K533" s="24" t="s">
        <v>226</v>
      </c>
      <c r="L533" s="24" t="s">
        <v>230</v>
      </c>
      <c r="M533" s="24">
        <v>1</v>
      </c>
      <c r="N533" s="24" t="s">
        <v>76</v>
      </c>
      <c r="O533" s="24" t="s">
        <v>272</v>
      </c>
      <c r="P533" s="24" t="s">
        <v>245</v>
      </c>
      <c r="Q533" s="24" t="s">
        <v>288</v>
      </c>
      <c r="R533" s="24" t="s">
        <v>342</v>
      </c>
      <c r="S533" s="24" t="s">
        <v>323</v>
      </c>
      <c r="T533" s="24" t="s">
        <v>46</v>
      </c>
      <c r="U533" s="24" t="s">
        <v>115</v>
      </c>
    </row>
    <row r="534" spans="3:21" ht="21.9" customHeight="1" x14ac:dyDescent="0.3">
      <c r="C534" s="24">
        <v>10</v>
      </c>
      <c r="D534" s="45">
        <v>43840</v>
      </c>
      <c r="E534" s="24">
        <f t="shared" si="7"/>
        <v>1</v>
      </c>
      <c r="F534" s="46">
        <v>76</v>
      </c>
      <c r="G534" s="24" t="s">
        <v>87</v>
      </c>
      <c r="H534" s="24" t="s">
        <v>197</v>
      </c>
      <c r="I534" s="24" t="s">
        <v>208</v>
      </c>
      <c r="J534" s="24" t="s">
        <v>222</v>
      </c>
      <c r="K534" s="24" t="s">
        <v>226</v>
      </c>
      <c r="L534" s="24" t="s">
        <v>230</v>
      </c>
      <c r="M534" s="24">
        <v>1</v>
      </c>
      <c r="N534" s="24" t="s">
        <v>73</v>
      </c>
      <c r="O534" s="24" t="s">
        <v>268</v>
      </c>
      <c r="P534" s="24" t="s">
        <v>262</v>
      </c>
      <c r="Q534" s="24" t="s">
        <v>288</v>
      </c>
      <c r="R534" s="24" t="s">
        <v>431</v>
      </c>
      <c r="S534" s="24" t="s">
        <v>493</v>
      </c>
      <c r="T534" s="24" t="s">
        <v>434</v>
      </c>
      <c r="U534" s="24" t="s">
        <v>113</v>
      </c>
    </row>
    <row r="535" spans="3:21" ht="21.9" customHeight="1" x14ac:dyDescent="0.3">
      <c r="C535" s="24">
        <v>9</v>
      </c>
      <c r="D535" s="45">
        <v>43839</v>
      </c>
      <c r="E535" s="24">
        <f t="shared" si="7"/>
        <v>1</v>
      </c>
      <c r="F535" s="46">
        <v>1800</v>
      </c>
      <c r="G535" s="24" t="s">
        <v>86</v>
      </c>
      <c r="H535" s="24" t="s">
        <v>198</v>
      </c>
      <c r="I535" s="24" t="s">
        <v>207</v>
      </c>
      <c r="J535" s="24" t="s">
        <v>224</v>
      </c>
      <c r="K535" s="24" t="s">
        <v>228</v>
      </c>
      <c r="L535" s="24" t="s">
        <v>230</v>
      </c>
      <c r="M535" s="24">
        <v>3</v>
      </c>
      <c r="N535" s="24" t="s">
        <v>72</v>
      </c>
      <c r="O535" s="24" t="s">
        <v>250</v>
      </c>
      <c r="P535" s="24" t="s">
        <v>253</v>
      </c>
      <c r="Q535" s="24" t="s">
        <v>384</v>
      </c>
      <c r="R535" s="24" t="s">
        <v>345</v>
      </c>
      <c r="S535" s="24" t="s">
        <v>330</v>
      </c>
      <c r="T535" s="24" t="s">
        <v>44</v>
      </c>
      <c r="U535" s="24" t="s">
        <v>113</v>
      </c>
    </row>
    <row r="536" spans="3:21" ht="21.9" customHeight="1" x14ac:dyDescent="0.3">
      <c r="C536" s="24">
        <v>8</v>
      </c>
      <c r="D536" s="45">
        <v>43838</v>
      </c>
      <c r="E536" s="24">
        <f t="shared" si="7"/>
        <v>1</v>
      </c>
      <c r="F536" s="46">
        <v>340</v>
      </c>
      <c r="G536" s="24" t="s">
        <v>85</v>
      </c>
      <c r="H536" s="24" t="s">
        <v>199</v>
      </c>
      <c r="I536" s="24" t="s">
        <v>209</v>
      </c>
      <c r="J536" s="24" t="s">
        <v>216</v>
      </c>
      <c r="K536" s="24" t="s">
        <v>228</v>
      </c>
      <c r="L536" s="24" t="s">
        <v>221</v>
      </c>
      <c r="M536" s="24">
        <v>2</v>
      </c>
      <c r="N536" s="24" t="s">
        <v>71</v>
      </c>
      <c r="O536" s="24" t="s">
        <v>271</v>
      </c>
      <c r="P536" s="24" t="s">
        <v>286</v>
      </c>
      <c r="Q536" s="24" t="s">
        <v>288</v>
      </c>
      <c r="R536" s="24" t="s">
        <v>58</v>
      </c>
      <c r="S536" s="24" t="s">
        <v>30</v>
      </c>
      <c r="T536" s="24" t="s">
        <v>46</v>
      </c>
      <c r="U536" s="24" t="s">
        <v>116</v>
      </c>
    </row>
    <row r="537" spans="3:21" ht="21.9" customHeight="1" x14ac:dyDescent="0.3">
      <c r="C537" s="24">
        <v>7</v>
      </c>
      <c r="D537" s="45">
        <v>43837</v>
      </c>
      <c r="E537" s="24">
        <f t="shared" si="7"/>
        <v>1</v>
      </c>
      <c r="F537" s="46">
        <v>1200</v>
      </c>
      <c r="G537" s="24" t="s">
        <v>84</v>
      </c>
      <c r="H537" s="24" t="s">
        <v>200</v>
      </c>
      <c r="I537" s="24" t="s">
        <v>208</v>
      </c>
      <c r="J537" s="24" t="s">
        <v>222</v>
      </c>
      <c r="K537" s="24" t="s">
        <v>228</v>
      </c>
      <c r="L537" s="24" t="s">
        <v>220</v>
      </c>
      <c r="M537" s="24">
        <v>3</v>
      </c>
      <c r="N537" s="24" t="s">
        <v>380</v>
      </c>
      <c r="O537" s="24" t="s">
        <v>381</v>
      </c>
      <c r="P537" s="24" t="s">
        <v>46</v>
      </c>
      <c r="Q537" s="24" t="s">
        <v>384</v>
      </c>
      <c r="R537" s="24" t="s">
        <v>53</v>
      </c>
      <c r="S537" s="24" t="s">
        <v>25</v>
      </c>
      <c r="T537" s="24" t="s">
        <v>45</v>
      </c>
      <c r="U537" s="24" t="s">
        <v>113</v>
      </c>
    </row>
    <row r="538" spans="3:21" ht="21.9" customHeight="1" x14ac:dyDescent="0.3">
      <c r="C538" s="24">
        <v>6</v>
      </c>
      <c r="D538" s="45">
        <v>43836</v>
      </c>
      <c r="E538" s="24">
        <f t="shared" si="7"/>
        <v>1</v>
      </c>
      <c r="F538" s="46">
        <v>800</v>
      </c>
      <c r="G538" s="24" t="s">
        <v>83</v>
      </c>
      <c r="H538" s="24" t="s">
        <v>201</v>
      </c>
      <c r="I538" s="24" t="s">
        <v>208</v>
      </c>
      <c r="J538" s="24" t="s">
        <v>222</v>
      </c>
      <c r="K538" s="24" t="s">
        <v>226</v>
      </c>
      <c r="L538" s="24" t="s">
        <v>230</v>
      </c>
      <c r="M538" s="24">
        <v>1</v>
      </c>
      <c r="N538" s="24" t="s">
        <v>77</v>
      </c>
      <c r="O538" s="24" t="s">
        <v>273</v>
      </c>
      <c r="P538" s="24" t="s">
        <v>241</v>
      </c>
      <c r="Q538" s="24" t="s">
        <v>287</v>
      </c>
      <c r="R538" s="24" t="s">
        <v>57</v>
      </c>
      <c r="S538" s="24" t="s">
        <v>29</v>
      </c>
      <c r="T538" s="24" t="s">
        <v>49</v>
      </c>
      <c r="U538" s="24" t="s">
        <v>113</v>
      </c>
    </row>
    <row r="539" spans="3:21" ht="21.9" customHeight="1" x14ac:dyDescent="0.3">
      <c r="C539" s="24">
        <v>5</v>
      </c>
      <c r="D539" s="45">
        <v>43835</v>
      </c>
      <c r="E539" s="24">
        <f t="shared" si="7"/>
        <v>1</v>
      </c>
      <c r="F539" s="46">
        <v>800</v>
      </c>
      <c r="G539" s="24" t="s">
        <v>82</v>
      </c>
      <c r="H539" s="24" t="s">
        <v>202</v>
      </c>
      <c r="I539" s="24" t="s">
        <v>207</v>
      </c>
      <c r="J539" s="24" t="s">
        <v>222</v>
      </c>
      <c r="K539" s="24" t="s">
        <v>226</v>
      </c>
      <c r="L539" s="24" t="s">
        <v>230</v>
      </c>
      <c r="M539" s="24">
        <v>2</v>
      </c>
      <c r="N539" s="24" t="s">
        <v>74</v>
      </c>
      <c r="O539" s="24" t="s">
        <v>270</v>
      </c>
      <c r="P539" s="24" t="s">
        <v>260</v>
      </c>
      <c r="Q539" s="24" t="s">
        <v>288</v>
      </c>
      <c r="R539" s="24" t="s">
        <v>470</v>
      </c>
      <c r="S539" s="24" t="s">
        <v>500</v>
      </c>
      <c r="T539" s="24" t="s">
        <v>473</v>
      </c>
      <c r="U539" s="24" t="s">
        <v>113</v>
      </c>
    </row>
    <row r="540" spans="3:21" ht="21.9" customHeight="1" x14ac:dyDescent="0.3">
      <c r="C540" s="24">
        <v>4</v>
      </c>
      <c r="D540" s="45">
        <v>43834</v>
      </c>
      <c r="E540" s="24">
        <f t="shared" si="7"/>
        <v>1</v>
      </c>
      <c r="F540" s="46">
        <v>750</v>
      </c>
      <c r="G540" s="24" t="s">
        <v>81</v>
      </c>
      <c r="H540" s="24" t="s">
        <v>203</v>
      </c>
      <c r="I540" s="24" t="s">
        <v>207</v>
      </c>
      <c r="J540" s="24" t="s">
        <v>223</v>
      </c>
      <c r="K540" s="24" t="s">
        <v>226</v>
      </c>
      <c r="L540" s="24" t="s">
        <v>230</v>
      </c>
      <c r="M540" s="24">
        <v>3</v>
      </c>
      <c r="N540" s="24" t="s">
        <v>77</v>
      </c>
      <c r="O540" s="24" t="s">
        <v>273</v>
      </c>
      <c r="P540" s="24" t="s">
        <v>241</v>
      </c>
      <c r="Q540" s="24" t="s">
        <v>287</v>
      </c>
      <c r="R540" s="24" t="s">
        <v>409</v>
      </c>
      <c r="S540" s="24" t="s">
        <v>489</v>
      </c>
      <c r="T540" s="24" t="s">
        <v>245</v>
      </c>
      <c r="U540" s="24" t="s">
        <v>113</v>
      </c>
    </row>
    <row r="541" spans="3:21" ht="21.9" customHeight="1" x14ac:dyDescent="0.3">
      <c r="C541" s="24">
        <v>3</v>
      </c>
      <c r="D541" s="45">
        <v>43833</v>
      </c>
      <c r="E541" s="24">
        <f t="shared" si="7"/>
        <v>1</v>
      </c>
      <c r="F541" s="46">
        <v>80</v>
      </c>
      <c r="G541" s="24" t="s">
        <v>80</v>
      </c>
      <c r="H541" s="24" t="s">
        <v>204</v>
      </c>
      <c r="I541" s="24" t="s">
        <v>207</v>
      </c>
      <c r="J541" s="24" t="s">
        <v>221</v>
      </c>
      <c r="K541" s="24" t="s">
        <v>229</v>
      </c>
      <c r="L541" s="24" t="s">
        <v>221</v>
      </c>
      <c r="M541" s="24">
        <v>2</v>
      </c>
      <c r="N541" s="24" t="s">
        <v>75</v>
      </c>
      <c r="O541" s="24" t="s">
        <v>26</v>
      </c>
      <c r="P541" s="24" t="s">
        <v>249</v>
      </c>
      <c r="Q541" s="24" t="s">
        <v>289</v>
      </c>
      <c r="R541" s="24" t="s">
        <v>393</v>
      </c>
      <c r="S541" s="24" t="s">
        <v>486</v>
      </c>
      <c r="T541" s="24" t="s">
        <v>395</v>
      </c>
      <c r="U541" s="24" t="s">
        <v>113</v>
      </c>
    </row>
    <row r="542" spans="3:21" ht="21.9" customHeight="1" x14ac:dyDescent="0.3">
      <c r="C542" s="24">
        <v>2</v>
      </c>
      <c r="D542" s="45">
        <v>43832</v>
      </c>
      <c r="E542" s="24">
        <f t="shared" si="7"/>
        <v>1</v>
      </c>
      <c r="F542" s="46">
        <v>35</v>
      </c>
      <c r="G542" s="24" t="s">
        <v>79</v>
      </c>
      <c r="H542" s="24" t="s">
        <v>205</v>
      </c>
      <c r="I542" s="24" t="s">
        <v>207</v>
      </c>
      <c r="J542" s="24" t="s">
        <v>221</v>
      </c>
      <c r="K542" s="24" t="s">
        <v>229</v>
      </c>
      <c r="L542" s="24" t="s">
        <v>221</v>
      </c>
      <c r="M542" s="24">
        <v>1</v>
      </c>
      <c r="N542" s="24" t="s">
        <v>76</v>
      </c>
      <c r="O542" s="24" t="s">
        <v>272</v>
      </c>
      <c r="P542" s="24" t="s">
        <v>245</v>
      </c>
      <c r="Q542" s="24" t="s">
        <v>288</v>
      </c>
      <c r="R542" s="24" t="s">
        <v>388</v>
      </c>
      <c r="S542" s="24" t="s">
        <v>485</v>
      </c>
      <c r="T542" s="24" t="s">
        <v>390</v>
      </c>
      <c r="U542" s="24" t="s">
        <v>113</v>
      </c>
    </row>
    <row r="543" spans="3:21" ht="21.9" customHeight="1" x14ac:dyDescent="0.3">
      <c r="C543" s="24">
        <v>1</v>
      </c>
      <c r="D543" s="45">
        <v>43831</v>
      </c>
      <c r="E543" s="24">
        <f t="shared" si="7"/>
        <v>1</v>
      </c>
      <c r="F543" s="46">
        <v>90</v>
      </c>
      <c r="G543" s="24" t="s">
        <v>78</v>
      </c>
      <c r="H543" s="24" t="s">
        <v>206</v>
      </c>
      <c r="I543" s="24" t="s">
        <v>207</v>
      </c>
      <c r="J543" s="24" t="s">
        <v>221</v>
      </c>
      <c r="K543" s="24" t="s">
        <v>229</v>
      </c>
      <c r="L543" s="24" t="s">
        <v>221</v>
      </c>
      <c r="M543" s="24">
        <v>3</v>
      </c>
      <c r="N543" s="24" t="s">
        <v>76</v>
      </c>
      <c r="O543" s="24" t="s">
        <v>272</v>
      </c>
      <c r="P543" s="24" t="s">
        <v>245</v>
      </c>
      <c r="Q543" s="24" t="s">
        <v>288</v>
      </c>
      <c r="R543" s="24" t="s">
        <v>404</v>
      </c>
      <c r="S543" s="24" t="s">
        <v>488</v>
      </c>
      <c r="T543" s="24" t="s">
        <v>241</v>
      </c>
      <c r="U543" s="24" t="s">
        <v>518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BD20"/>
  <sheetViews>
    <sheetView zoomScale="85" zoomScaleNormal="85" workbookViewId="0"/>
  </sheetViews>
  <sheetFormatPr defaultRowHeight="21.9" customHeight="1" x14ac:dyDescent="0.3"/>
  <cols>
    <col min="1" max="1" width="57" style="1" customWidth="1"/>
    <col min="2" max="2" width="7.33203125" style="7" customWidth="1"/>
    <col min="3" max="3" width="2" style="7" customWidth="1"/>
    <col min="4" max="4" width="29.109375" style="7" customWidth="1"/>
    <col min="5" max="5" width="30.88671875" style="7" customWidth="1"/>
    <col min="6" max="6" width="35.109375" style="7" customWidth="1"/>
    <col min="7" max="7" width="38.109375" style="7" customWidth="1"/>
    <col min="8" max="9" width="21.88671875" style="7" customWidth="1"/>
    <col min="10" max="10" width="31.109375" style="7" customWidth="1"/>
    <col min="11" max="11" width="29.109375" style="7" customWidth="1"/>
    <col min="12" max="56" width="9.109375" style="7"/>
  </cols>
  <sheetData>
    <row r="2" spans="4:10" ht="21.9" customHeight="1" x14ac:dyDescent="0.4">
      <c r="F2" s="78" t="s">
        <v>509</v>
      </c>
    </row>
    <row r="3" spans="4:10" ht="30" customHeight="1" x14ac:dyDescent="0.3"/>
    <row r="4" spans="4:10" ht="21.9" customHeight="1" x14ac:dyDescent="0.4">
      <c r="D4" s="22" t="s">
        <v>233</v>
      </c>
      <c r="G4" s="75" t="s">
        <v>510</v>
      </c>
    </row>
    <row r="5" spans="4:10" ht="21.9" customHeight="1" x14ac:dyDescent="0.3">
      <c r="D5" s="74"/>
      <c r="E5" s="16"/>
      <c r="G5" s="77"/>
    </row>
    <row r="7" spans="4:10" ht="21.9" customHeight="1" x14ac:dyDescent="0.4">
      <c r="I7" s="75" t="s">
        <v>504</v>
      </c>
    </row>
    <row r="8" spans="4:10" ht="21.9" customHeight="1" x14ac:dyDescent="0.3">
      <c r="I8" s="76">
        <v>1</v>
      </c>
    </row>
    <row r="11" spans="4:10" ht="21.9" customHeight="1" x14ac:dyDescent="0.3">
      <c r="D11" s="2" t="s">
        <v>238</v>
      </c>
      <c r="E11" s="2" t="s">
        <v>234</v>
      </c>
      <c r="F11" s="2" t="s">
        <v>503</v>
      </c>
      <c r="G11" s="2" t="s">
        <v>505</v>
      </c>
      <c r="H11" s="2" t="s">
        <v>507</v>
      </c>
      <c r="I11" s="2" t="s">
        <v>508</v>
      </c>
      <c r="J11" s="2" t="s">
        <v>511</v>
      </c>
    </row>
    <row r="12" spans="4:10" ht="21.9" customHeight="1" x14ac:dyDescent="0.3">
      <c r="D12" s="24" t="s">
        <v>380</v>
      </c>
      <c r="E12" s="24" t="str">
        <f>VLOOKUP(D12,Funcionários!C:D,2,FALSE)</f>
        <v>Pedro Mendes</v>
      </c>
      <c r="F12" s="24">
        <f>COUNTIFS(Vendas!N:N,'Fechamento '!D12,Vendas!E:E,'Fechamento '!$I$8)</f>
        <v>4</v>
      </c>
      <c r="G12" s="46">
        <f>SUMIFS(Vendas!F:F,Vendas!N:N,'Fechamento '!D12,Vendas!E:E,'Fechamento '!$I$8)</f>
        <v>7610</v>
      </c>
      <c r="H12" s="46">
        <f>G12*0.05</f>
        <v>380.5</v>
      </c>
      <c r="I12" s="46" t="str">
        <f>IF(OR(G12&gt;8000,F12&gt;=8),"R$ 100,00","-")</f>
        <v>-</v>
      </c>
      <c r="J12" s="46">
        <f>VLOOKUP(D12,Funcionários!C:F,4,FALSE)+IF(I12="-",0,I12)+H12</f>
        <v>1580.5</v>
      </c>
    </row>
    <row r="13" spans="4:10" ht="21.9" customHeight="1" x14ac:dyDescent="0.3">
      <c r="D13" s="24" t="s">
        <v>77</v>
      </c>
      <c r="E13" s="24" t="str">
        <f>VLOOKUP(D13,Funcionários!C:D,2,FALSE)</f>
        <v>Sofia Teles</v>
      </c>
      <c r="F13" s="24">
        <f>COUNTIFS(Vendas!N:N,'Fechamento '!D13,Vendas!E:E,'Fechamento '!$I$8)</f>
        <v>4</v>
      </c>
      <c r="G13" s="46">
        <f>SUMIFS(Vendas!F:F,Vendas!N:N,'Fechamento '!D13,Vendas!E:E,'Fechamento '!$I$8)</f>
        <v>2780</v>
      </c>
      <c r="H13" s="46">
        <f t="shared" ref="H13:H20" si="0">G13*0.05</f>
        <v>139</v>
      </c>
      <c r="I13" s="46" t="str">
        <f t="shared" ref="I13:I20" si="1">IF(OR(G13&gt;8000,F13&gt;=8),"R$ 100,00","-")</f>
        <v>-</v>
      </c>
      <c r="J13" s="46">
        <f>VLOOKUP(D13,Funcionários!C:F,4,FALSE)+IF(I13="-",0,I13)+H13</f>
        <v>1339</v>
      </c>
    </row>
    <row r="14" spans="4:10" ht="21.9" customHeight="1" x14ac:dyDescent="0.3">
      <c r="D14" s="24" t="s">
        <v>76</v>
      </c>
      <c r="E14" s="24" t="str">
        <f>VLOOKUP(D14,Funcionários!C:D,2,FALSE)</f>
        <v>Lucca Junior</v>
      </c>
      <c r="F14" s="24">
        <f>COUNTIFS(Vendas!N:N,'Fechamento '!D14,Vendas!E:E,'Fechamento '!$I$8)</f>
        <v>5</v>
      </c>
      <c r="G14" s="46">
        <f>SUMIFS(Vendas!F:F,Vendas!N:N,'Fechamento '!D14,Vendas!E:E,'Fechamento '!$I$8)</f>
        <v>625</v>
      </c>
      <c r="H14" s="46">
        <f t="shared" si="0"/>
        <v>31.25</v>
      </c>
      <c r="I14" s="46" t="str">
        <f t="shared" si="1"/>
        <v>-</v>
      </c>
      <c r="J14" s="46">
        <f>VLOOKUP(D14,Funcionários!C:F,4,FALSE)+IF(I14="-",0,I14)+H14</f>
        <v>1231.25</v>
      </c>
    </row>
    <row r="15" spans="4:10" ht="21.9" customHeight="1" x14ac:dyDescent="0.3">
      <c r="D15" s="24" t="s">
        <v>75</v>
      </c>
      <c r="E15" s="24" t="str">
        <f>VLOOKUP(D15,Funcionários!C:D,2,FALSE)</f>
        <v>Gabriel Lanza</v>
      </c>
      <c r="F15" s="24">
        <f>COUNTIFS(Vendas!N:N,'Fechamento '!D15,Vendas!E:E,'Fechamento '!$I$8)</f>
        <v>4</v>
      </c>
      <c r="G15" s="46">
        <f>SUMIFS(Vendas!F:F,Vendas!N:N,'Fechamento '!D15,Vendas!E:E,'Fechamento '!$I$8)</f>
        <v>3550</v>
      </c>
      <c r="H15" s="46">
        <f t="shared" si="0"/>
        <v>177.5</v>
      </c>
      <c r="I15" s="46" t="str">
        <f t="shared" si="1"/>
        <v>-</v>
      </c>
      <c r="J15" s="46">
        <f>VLOOKUP(D15,Funcionários!C:F,4,FALSE)+IF(I15="-",0,I15)+H15</f>
        <v>1377.5</v>
      </c>
    </row>
    <row r="16" spans="4:10" ht="21.9" customHeight="1" x14ac:dyDescent="0.3">
      <c r="D16" s="24" t="s">
        <v>74</v>
      </c>
      <c r="E16" s="24" t="str">
        <f>VLOOKUP(D16,Funcionários!C:D,2,FALSE)</f>
        <v>Júlia Peres</v>
      </c>
      <c r="F16" s="24">
        <f>COUNTIFS(Vendas!N:N,'Fechamento '!D16,Vendas!E:E,'Fechamento '!$I$8)</f>
        <v>6</v>
      </c>
      <c r="G16" s="46">
        <f>SUMIFS(Vendas!F:F,Vendas!N:N,'Fechamento '!D16,Vendas!E:E,'Fechamento '!$I$8)</f>
        <v>4270</v>
      </c>
      <c r="H16" s="46">
        <f t="shared" si="0"/>
        <v>213.5</v>
      </c>
      <c r="I16" s="46" t="str">
        <f t="shared" si="1"/>
        <v>-</v>
      </c>
      <c r="J16" s="46">
        <f>VLOOKUP(D16,Funcionários!C:F,4,FALSE)+IF(I16="-",0,I16)+H16</f>
        <v>1413.5</v>
      </c>
    </row>
    <row r="17" spans="4:10" ht="21.9" customHeight="1" x14ac:dyDescent="0.3">
      <c r="D17" s="24" t="s">
        <v>73</v>
      </c>
      <c r="E17" s="24" t="str">
        <f>VLOOKUP(D17,Funcionários!C:D,2,FALSE)</f>
        <v>Alice Moreira</v>
      </c>
      <c r="F17" s="24">
        <f>COUNTIFS(Vendas!N:N,'Fechamento '!D17,Vendas!E:E,'Fechamento '!$I$8)</f>
        <v>3</v>
      </c>
      <c r="G17" s="46">
        <f>SUMIFS(Vendas!F:F,Vendas!N:N,'Fechamento '!D17,Vendas!E:E,'Fechamento '!$I$8)</f>
        <v>596</v>
      </c>
      <c r="H17" s="46">
        <f t="shared" si="0"/>
        <v>29.8</v>
      </c>
      <c r="I17" s="46" t="str">
        <f t="shared" si="1"/>
        <v>-</v>
      </c>
      <c r="J17" s="46">
        <f>VLOOKUP(D17,Funcionários!C:F,4,FALSE)+IF(I17="-",0,I17)+H17</f>
        <v>1429.8</v>
      </c>
    </row>
    <row r="18" spans="4:10" ht="21.9" customHeight="1" x14ac:dyDescent="0.3">
      <c r="D18" s="24" t="s">
        <v>72</v>
      </c>
      <c r="E18" s="24" t="str">
        <f>VLOOKUP(D18,Funcionários!C:D,2,FALSE)</f>
        <v>Felipe Ragne</v>
      </c>
      <c r="F18" s="24">
        <f>COUNTIFS(Vendas!N:N,'Fechamento '!D18,Vendas!E:E,'Fechamento '!$I$8)</f>
        <v>3</v>
      </c>
      <c r="G18" s="46">
        <f>SUMIFS(Vendas!F:F,Vendas!N:N,'Fechamento '!D18,Vendas!E:E,'Fechamento '!$I$8)</f>
        <v>5120</v>
      </c>
      <c r="H18" s="46">
        <f t="shared" si="0"/>
        <v>256</v>
      </c>
      <c r="I18" s="46" t="str">
        <f t="shared" si="1"/>
        <v>-</v>
      </c>
      <c r="J18" s="46">
        <f>VLOOKUP(D18,Funcionários!C:F,4,FALSE)+IF(I18="-",0,I18)+H18</f>
        <v>1656</v>
      </c>
    </row>
    <row r="19" spans="4:10" ht="21.9" customHeight="1" x14ac:dyDescent="0.3">
      <c r="D19" s="24" t="s">
        <v>71</v>
      </c>
      <c r="E19" s="24" t="str">
        <f>VLOOKUP(D19,Funcionários!C:D,2,FALSE)</f>
        <v>Mateus Azevedo</v>
      </c>
      <c r="F19" s="24">
        <f>COUNTIFS(Vendas!N:N,'Fechamento '!D19,Vendas!E:E,'Fechamento '!$I$8)</f>
        <v>8</v>
      </c>
      <c r="G19" s="46">
        <f>SUMIFS(Vendas!F:F,Vendas!N:N,'Fechamento '!D19,Vendas!E:E,'Fechamento '!$I$8)</f>
        <v>3803</v>
      </c>
      <c r="H19" s="46">
        <f t="shared" si="0"/>
        <v>190.15</v>
      </c>
      <c r="I19" s="46" t="str">
        <f>IF(OR(G19&gt;8000,F19&gt;=8),"R$ 100,00","-")</f>
        <v>R$ 100,00</v>
      </c>
      <c r="J19" s="46">
        <f>VLOOKUP(D19,Funcionários!C:F,4,FALSE)+IF(I19="-",0,I19)+H19</f>
        <v>1690.15</v>
      </c>
    </row>
    <row r="20" spans="4:10" ht="21.9" customHeight="1" x14ac:dyDescent="0.3">
      <c r="D20" s="24" t="s">
        <v>51</v>
      </c>
      <c r="E20" s="24" t="str">
        <f>VLOOKUP(D20,Funcionários!C:D,2,FALSE)</f>
        <v>Miguel Souza</v>
      </c>
      <c r="F20" s="24">
        <f>COUNTIFS(Vendas!N:N,'Fechamento '!D20,Vendas!E:E,'Fechamento '!$I$8)</f>
        <v>5</v>
      </c>
      <c r="G20" s="46">
        <f>SUMIFS(Vendas!F:F,Vendas!N:N,'Fechamento '!D20,Vendas!E:E,'Fechamento '!$I$8)</f>
        <v>3190</v>
      </c>
      <c r="H20" s="46">
        <f t="shared" si="0"/>
        <v>159.5</v>
      </c>
      <c r="I20" s="46" t="str">
        <f t="shared" si="1"/>
        <v>-</v>
      </c>
      <c r="J20" s="46">
        <f>VLOOKUP(D20,Funcionários!C:F,4,FALSE)+IF(I20="-",0,I20)+H20</f>
        <v>2659.5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X53"/>
  <sheetViews>
    <sheetView zoomScale="85" zoomScaleNormal="85" workbookViewId="0">
      <selection activeCell="C4" sqref="C4"/>
    </sheetView>
  </sheetViews>
  <sheetFormatPr defaultColWidth="9.109375" defaultRowHeight="14.4" x14ac:dyDescent="0.3"/>
  <cols>
    <col min="1" max="1" width="53.5546875" style="7" customWidth="1"/>
    <col min="2" max="2" width="23" style="7" customWidth="1"/>
    <col min="3" max="3" width="54.109375" style="7" customWidth="1"/>
    <col min="4" max="4" width="27" style="7" customWidth="1"/>
    <col min="5" max="5" width="31" style="7" customWidth="1"/>
    <col min="6" max="6" width="46.6640625" style="7" customWidth="1"/>
    <col min="7" max="10" width="28.88671875" style="7" customWidth="1"/>
    <col min="11" max="11" width="23.44140625" style="7" customWidth="1"/>
    <col min="12" max="12" width="27.5546875" style="7" customWidth="1"/>
    <col min="13" max="13" width="22.88671875" style="7" customWidth="1"/>
    <col min="14" max="14" width="22.44140625" style="7" customWidth="1"/>
    <col min="15" max="15" width="25.5546875" style="7" customWidth="1"/>
    <col min="16" max="17" width="27.5546875" style="7" customWidth="1"/>
    <col min="18" max="18" width="22.33203125" style="7" customWidth="1"/>
    <col min="19" max="19" width="25.44140625" style="7" customWidth="1"/>
    <col min="20" max="20" width="15.5546875" style="7" customWidth="1"/>
    <col min="21" max="21" width="19.5546875" style="7" customWidth="1"/>
    <col min="22" max="22" width="17.6640625" style="7" customWidth="1"/>
    <col min="23" max="23" width="18.5546875" style="7" customWidth="1"/>
    <col min="24" max="24" width="17.88671875" style="7" customWidth="1"/>
    <col min="25" max="16384" width="9.109375" style="7"/>
  </cols>
  <sheetData>
    <row r="4" spans="1:22" ht="25.8" x14ac:dyDescent="0.5">
      <c r="A4" s="84" t="s">
        <v>526</v>
      </c>
    </row>
    <row r="8" spans="1:22" ht="22.8" x14ac:dyDescent="0.3">
      <c r="A8" s="17" t="s">
        <v>0</v>
      </c>
      <c r="B8" s="17" t="s">
        <v>1</v>
      </c>
      <c r="C8" s="19" t="s">
        <v>213</v>
      </c>
      <c r="D8" s="19" t="s">
        <v>214</v>
      </c>
      <c r="E8" s="19" t="s">
        <v>215</v>
      </c>
      <c r="F8" s="19" t="s">
        <v>216</v>
      </c>
      <c r="G8" s="19" t="s">
        <v>23</v>
      </c>
      <c r="H8" s="19" t="s">
        <v>217</v>
      </c>
      <c r="I8" s="18" t="s">
        <v>21</v>
      </c>
      <c r="J8" s="18" t="s">
        <v>7</v>
      </c>
      <c r="K8" s="18" t="s">
        <v>8</v>
      </c>
      <c r="L8" s="18" t="s">
        <v>9</v>
      </c>
      <c r="M8" s="18" t="s">
        <v>10</v>
      </c>
      <c r="N8" s="18" t="s">
        <v>11</v>
      </c>
      <c r="O8" s="18" t="s">
        <v>12</v>
      </c>
      <c r="P8" s="18" t="s">
        <v>13</v>
      </c>
      <c r="Q8" s="18" t="s">
        <v>14</v>
      </c>
      <c r="R8" s="18" t="s">
        <v>15</v>
      </c>
      <c r="S8" s="18" t="s">
        <v>16</v>
      </c>
      <c r="T8" s="18" t="s">
        <v>17</v>
      </c>
      <c r="U8" s="18" t="s">
        <v>18</v>
      </c>
      <c r="V8" s="18" t="s">
        <v>19</v>
      </c>
    </row>
    <row r="9" spans="1:22" ht="15" x14ac:dyDescent="0.3">
      <c r="A9" s="33" t="s">
        <v>85</v>
      </c>
      <c r="B9" s="33" t="s">
        <v>199</v>
      </c>
      <c r="C9" s="33" t="s">
        <v>209</v>
      </c>
      <c r="D9" s="34" t="s">
        <v>216</v>
      </c>
      <c r="E9" s="34" t="s">
        <v>228</v>
      </c>
      <c r="F9" s="35" t="s">
        <v>221</v>
      </c>
      <c r="G9" s="36">
        <v>50</v>
      </c>
      <c r="H9" s="36">
        <v>170</v>
      </c>
      <c r="I9" s="67">
        <v>25</v>
      </c>
      <c r="J9" s="42">
        <v>8670</v>
      </c>
      <c r="K9" s="37">
        <v>850</v>
      </c>
      <c r="L9" s="37">
        <v>510</v>
      </c>
      <c r="M9" s="37">
        <v>680</v>
      </c>
      <c r="N9" s="37">
        <v>340</v>
      </c>
      <c r="O9" s="37">
        <v>850</v>
      </c>
      <c r="P9" s="37">
        <v>680</v>
      </c>
      <c r="Q9" s="37">
        <v>1020</v>
      </c>
      <c r="R9" s="37">
        <v>680</v>
      </c>
      <c r="S9" s="37">
        <v>510</v>
      </c>
      <c r="T9" s="37">
        <v>680</v>
      </c>
      <c r="U9" s="37">
        <v>850</v>
      </c>
      <c r="V9" s="37">
        <v>1020</v>
      </c>
    </row>
    <row r="10" spans="1:22" ht="15" x14ac:dyDescent="0.3">
      <c r="A10" s="33" t="s">
        <v>80</v>
      </c>
      <c r="B10" s="33" t="s">
        <v>204</v>
      </c>
      <c r="C10" s="33" t="s">
        <v>207</v>
      </c>
      <c r="D10" s="34" t="s">
        <v>221</v>
      </c>
      <c r="E10" s="34" t="s">
        <v>229</v>
      </c>
      <c r="F10" s="35" t="s">
        <v>221</v>
      </c>
      <c r="G10" s="36">
        <v>25</v>
      </c>
      <c r="H10" s="36">
        <v>40</v>
      </c>
      <c r="I10" s="67">
        <v>25</v>
      </c>
      <c r="J10" s="42">
        <v>2200</v>
      </c>
      <c r="K10" s="37">
        <v>200</v>
      </c>
      <c r="L10" s="37">
        <v>240</v>
      </c>
      <c r="M10" s="37">
        <v>120</v>
      </c>
      <c r="N10" s="37">
        <v>200</v>
      </c>
      <c r="O10" s="37">
        <v>200</v>
      </c>
      <c r="P10" s="37">
        <v>120</v>
      </c>
      <c r="Q10" s="37">
        <v>240</v>
      </c>
      <c r="R10" s="37">
        <v>160</v>
      </c>
      <c r="S10" s="37">
        <v>160</v>
      </c>
      <c r="T10" s="37">
        <v>160</v>
      </c>
      <c r="U10" s="37">
        <v>200</v>
      </c>
      <c r="V10" s="37">
        <v>200</v>
      </c>
    </row>
    <row r="11" spans="1:22" ht="15" x14ac:dyDescent="0.3">
      <c r="A11" s="33" t="s">
        <v>79</v>
      </c>
      <c r="B11" s="33" t="s">
        <v>205</v>
      </c>
      <c r="C11" s="33" t="s">
        <v>207</v>
      </c>
      <c r="D11" s="34" t="s">
        <v>221</v>
      </c>
      <c r="E11" s="34" t="s">
        <v>229</v>
      </c>
      <c r="F11" s="35" t="s">
        <v>221</v>
      </c>
      <c r="G11" s="36">
        <v>15</v>
      </c>
      <c r="H11" s="36">
        <v>35</v>
      </c>
      <c r="I11" s="67">
        <v>27</v>
      </c>
      <c r="J11" s="42">
        <v>1855</v>
      </c>
      <c r="K11" s="37">
        <v>70</v>
      </c>
      <c r="L11" s="37">
        <v>140</v>
      </c>
      <c r="M11" s="37">
        <v>140</v>
      </c>
      <c r="N11" s="37">
        <v>210</v>
      </c>
      <c r="O11" s="37">
        <v>175</v>
      </c>
      <c r="P11" s="37">
        <v>140</v>
      </c>
      <c r="Q11" s="37">
        <v>105</v>
      </c>
      <c r="R11" s="37">
        <v>210</v>
      </c>
      <c r="S11" s="37">
        <v>140</v>
      </c>
      <c r="T11" s="37">
        <v>210</v>
      </c>
      <c r="U11" s="37">
        <v>140</v>
      </c>
      <c r="V11" s="37">
        <v>175</v>
      </c>
    </row>
    <row r="12" spans="1:22" ht="15" x14ac:dyDescent="0.3">
      <c r="A12" s="33" t="s">
        <v>78</v>
      </c>
      <c r="B12" s="33" t="s">
        <v>206</v>
      </c>
      <c r="C12" s="33" t="s">
        <v>207</v>
      </c>
      <c r="D12" s="34" t="s">
        <v>221</v>
      </c>
      <c r="E12" s="34" t="s">
        <v>229</v>
      </c>
      <c r="F12" s="35" t="s">
        <v>221</v>
      </c>
      <c r="G12" s="36">
        <v>10</v>
      </c>
      <c r="H12" s="36">
        <v>30</v>
      </c>
      <c r="I12" s="67">
        <v>26</v>
      </c>
      <c r="J12" s="42">
        <v>1710</v>
      </c>
      <c r="K12" s="37">
        <v>120</v>
      </c>
      <c r="L12" s="37">
        <v>120</v>
      </c>
      <c r="M12" s="37">
        <v>120</v>
      </c>
      <c r="N12" s="37">
        <v>210</v>
      </c>
      <c r="O12" s="37">
        <v>120</v>
      </c>
      <c r="P12" s="37">
        <v>180</v>
      </c>
      <c r="Q12" s="37">
        <v>90</v>
      </c>
      <c r="R12" s="37">
        <v>180</v>
      </c>
      <c r="S12" s="37">
        <v>90</v>
      </c>
      <c r="T12" s="37">
        <v>180</v>
      </c>
      <c r="U12" s="37">
        <v>120</v>
      </c>
      <c r="V12" s="37">
        <v>180</v>
      </c>
    </row>
    <row r="17" spans="1:24" ht="25.8" x14ac:dyDescent="0.5">
      <c r="A17" s="84" t="s">
        <v>529</v>
      </c>
    </row>
    <row r="20" spans="1:24" ht="22.8" x14ac:dyDescent="0.3">
      <c r="A20" s="2" t="s">
        <v>238</v>
      </c>
      <c r="B20" s="2" t="s">
        <v>234</v>
      </c>
      <c r="C20" s="2" t="s">
        <v>236</v>
      </c>
      <c r="D20" s="2" t="s">
        <v>235</v>
      </c>
      <c r="E20" s="2" t="s">
        <v>20</v>
      </c>
      <c r="F20" s="2" t="s">
        <v>4</v>
      </c>
      <c r="G20" s="2" t="s">
        <v>5</v>
      </c>
      <c r="H20" s="2" t="s">
        <v>111</v>
      </c>
      <c r="I20" s="2" t="s">
        <v>6</v>
      </c>
      <c r="J20" s="2" t="s">
        <v>22</v>
      </c>
      <c r="K20" s="2" t="s">
        <v>21</v>
      </c>
      <c r="L20" s="4" t="s">
        <v>7</v>
      </c>
      <c r="M20" s="4" t="s">
        <v>8</v>
      </c>
      <c r="N20" s="4" t="s">
        <v>9</v>
      </c>
      <c r="O20" s="4" t="s">
        <v>10</v>
      </c>
      <c r="P20" s="4" t="s">
        <v>11</v>
      </c>
      <c r="Q20" s="4" t="s">
        <v>12</v>
      </c>
      <c r="R20" s="4" t="s">
        <v>13</v>
      </c>
      <c r="S20" s="4" t="s">
        <v>14</v>
      </c>
      <c r="T20" s="4" t="s">
        <v>15</v>
      </c>
      <c r="U20" s="4" t="s">
        <v>16</v>
      </c>
      <c r="V20" s="4" t="s">
        <v>17</v>
      </c>
      <c r="W20" s="4" t="s">
        <v>18</v>
      </c>
      <c r="X20" s="4" t="s">
        <v>19</v>
      </c>
    </row>
    <row r="21" spans="1:24" ht="15" x14ac:dyDescent="0.3">
      <c r="A21" s="24" t="s">
        <v>74</v>
      </c>
      <c r="B21" s="24" t="s">
        <v>270</v>
      </c>
      <c r="C21" s="24" t="s">
        <v>382</v>
      </c>
      <c r="D21" s="29">
        <v>1200</v>
      </c>
      <c r="E21" s="24" t="s">
        <v>259</v>
      </c>
      <c r="F21" s="25" t="s">
        <v>283</v>
      </c>
      <c r="G21" s="24" t="s">
        <v>260</v>
      </c>
      <c r="H21" s="24" t="s">
        <v>288</v>
      </c>
      <c r="I21" s="24" t="s">
        <v>278</v>
      </c>
      <c r="J21" s="27" t="s">
        <v>261</v>
      </c>
      <c r="K21" s="65">
        <v>51</v>
      </c>
      <c r="L21" s="66">
        <v>46921</v>
      </c>
      <c r="M21" s="66">
        <v>4270</v>
      </c>
      <c r="N21" s="66">
        <v>3475</v>
      </c>
      <c r="O21" s="66">
        <v>2700</v>
      </c>
      <c r="P21" s="66">
        <v>10490</v>
      </c>
      <c r="Q21" s="66">
        <v>2540</v>
      </c>
      <c r="R21" s="66">
        <v>3310</v>
      </c>
      <c r="S21" s="66">
        <v>2990</v>
      </c>
      <c r="T21" s="66">
        <v>2030</v>
      </c>
      <c r="U21" s="66">
        <v>8630</v>
      </c>
      <c r="V21" s="66">
        <v>220</v>
      </c>
      <c r="W21" s="66">
        <v>2896</v>
      </c>
      <c r="X21" s="66">
        <v>3370</v>
      </c>
    </row>
    <row r="22" spans="1:24" ht="15" x14ac:dyDescent="0.3">
      <c r="A22" s="24" t="s">
        <v>72</v>
      </c>
      <c r="B22" s="24" t="s">
        <v>250</v>
      </c>
      <c r="C22" s="24" t="s">
        <v>274</v>
      </c>
      <c r="D22" s="29">
        <v>1400</v>
      </c>
      <c r="E22" s="24" t="s">
        <v>251</v>
      </c>
      <c r="F22" s="25" t="s">
        <v>252</v>
      </c>
      <c r="G22" s="24" t="s">
        <v>253</v>
      </c>
      <c r="H22" s="24" t="s">
        <v>384</v>
      </c>
      <c r="I22" s="24" t="s">
        <v>280</v>
      </c>
      <c r="J22" t="s">
        <v>254</v>
      </c>
      <c r="K22" s="65">
        <v>59</v>
      </c>
      <c r="L22" s="66">
        <v>53880</v>
      </c>
      <c r="M22" s="66">
        <v>5120</v>
      </c>
      <c r="N22" s="66">
        <v>2630</v>
      </c>
      <c r="O22" s="66">
        <v>1340</v>
      </c>
      <c r="P22" s="66">
        <v>12785</v>
      </c>
      <c r="Q22" s="66">
        <v>850</v>
      </c>
      <c r="R22" s="66">
        <v>1625</v>
      </c>
      <c r="S22" s="66">
        <v>2350</v>
      </c>
      <c r="T22" s="66">
        <v>3420</v>
      </c>
      <c r="U22" s="66">
        <v>6140</v>
      </c>
      <c r="V22" s="66">
        <v>3000</v>
      </c>
      <c r="W22" s="66">
        <v>6220</v>
      </c>
      <c r="X22" s="66">
        <v>8400</v>
      </c>
    </row>
    <row r="26" spans="1:24" ht="25.8" x14ac:dyDescent="0.5">
      <c r="A26" s="84" t="s">
        <v>527</v>
      </c>
    </row>
    <row r="29" spans="1:24" ht="22.8" x14ac:dyDescent="0.3">
      <c r="A29" s="2" t="s">
        <v>2</v>
      </c>
      <c r="B29" s="2" t="s">
        <v>3</v>
      </c>
      <c r="C29" s="2" t="s">
        <v>20</v>
      </c>
      <c r="D29" s="59" t="s">
        <v>4</v>
      </c>
      <c r="E29" s="59" t="s">
        <v>5</v>
      </c>
      <c r="F29" s="2" t="s">
        <v>111</v>
      </c>
      <c r="G29" s="2" t="s">
        <v>6</v>
      </c>
      <c r="H29" s="59" t="s">
        <v>22</v>
      </c>
      <c r="I29" s="2" t="s">
        <v>122</v>
      </c>
      <c r="J29" s="4" t="s">
        <v>7</v>
      </c>
      <c r="K29" s="4" t="s">
        <v>8</v>
      </c>
      <c r="L29" s="4" t="s">
        <v>9</v>
      </c>
      <c r="M29" s="4" t="s">
        <v>10</v>
      </c>
      <c r="N29" s="4" t="s">
        <v>11</v>
      </c>
      <c r="O29" s="4" t="s">
        <v>12</v>
      </c>
      <c r="P29" s="4" t="s">
        <v>13</v>
      </c>
      <c r="Q29" s="4" t="s">
        <v>14</v>
      </c>
      <c r="R29" s="4" t="s">
        <v>15</v>
      </c>
      <c r="S29" s="4" t="s">
        <v>16</v>
      </c>
      <c r="T29" s="4" t="s">
        <v>17</v>
      </c>
      <c r="U29" s="4" t="s">
        <v>18</v>
      </c>
      <c r="V29" s="4" t="s">
        <v>19</v>
      </c>
    </row>
    <row r="30" spans="1:24" ht="15" x14ac:dyDescent="0.3">
      <c r="A30" s="24" t="s">
        <v>65</v>
      </c>
      <c r="B30" s="24" t="s">
        <v>37</v>
      </c>
      <c r="C30" s="24" t="s">
        <v>361</v>
      </c>
      <c r="D30" s="25" t="s">
        <v>162</v>
      </c>
      <c r="E30" s="25" t="s">
        <v>48</v>
      </c>
      <c r="F30" s="24" t="s">
        <v>113</v>
      </c>
      <c r="G30" s="26" t="s">
        <v>130</v>
      </c>
      <c r="H30" s="25" t="s">
        <v>164</v>
      </c>
      <c r="I30" s="65">
        <v>20</v>
      </c>
      <c r="J30" s="66">
        <v>14098</v>
      </c>
      <c r="K30" s="66">
        <v>100</v>
      </c>
      <c r="L30" s="66">
        <v>5760</v>
      </c>
      <c r="M30" s="66">
        <v>0</v>
      </c>
      <c r="N30" s="66">
        <v>0</v>
      </c>
      <c r="O30" s="66">
        <v>340</v>
      </c>
      <c r="P30" s="66">
        <v>920</v>
      </c>
      <c r="Q30" s="66">
        <v>0</v>
      </c>
      <c r="R30" s="66">
        <v>1660</v>
      </c>
      <c r="S30" s="66">
        <v>0</v>
      </c>
      <c r="T30" s="66">
        <v>818</v>
      </c>
      <c r="U30" s="66">
        <v>2100</v>
      </c>
      <c r="V30" s="66">
        <v>2400</v>
      </c>
    </row>
    <row r="31" spans="1:24" ht="15" x14ac:dyDescent="0.3">
      <c r="A31" s="24" t="s">
        <v>70</v>
      </c>
      <c r="B31" s="24" t="s">
        <v>42</v>
      </c>
      <c r="C31" s="24" t="s">
        <v>366</v>
      </c>
      <c r="D31" s="25" t="s">
        <v>177</v>
      </c>
      <c r="E31" s="25" t="s">
        <v>47</v>
      </c>
      <c r="F31" s="24" t="s">
        <v>114</v>
      </c>
      <c r="G31" s="26" t="s">
        <v>145</v>
      </c>
      <c r="H31" s="25" t="s">
        <v>179</v>
      </c>
      <c r="I31" s="65">
        <v>20</v>
      </c>
      <c r="J31" s="66">
        <v>25118</v>
      </c>
      <c r="K31" s="66">
        <v>2028</v>
      </c>
      <c r="L31" s="66">
        <v>0</v>
      </c>
      <c r="M31" s="66">
        <v>2200</v>
      </c>
      <c r="N31" s="66">
        <v>1860</v>
      </c>
      <c r="O31" s="66">
        <v>2300</v>
      </c>
      <c r="P31" s="66">
        <v>0</v>
      </c>
      <c r="Q31" s="66">
        <v>1520</v>
      </c>
      <c r="R31" s="66">
        <v>1070</v>
      </c>
      <c r="S31" s="66">
        <v>80</v>
      </c>
      <c r="T31" s="66">
        <v>0</v>
      </c>
      <c r="U31" s="66">
        <v>11200</v>
      </c>
      <c r="V31" s="66">
        <v>2860</v>
      </c>
    </row>
    <row r="32" spans="1:24" ht="15.6" x14ac:dyDescent="0.3">
      <c r="A32" s="24" t="s">
        <v>431</v>
      </c>
      <c r="B32" s="61" t="s">
        <v>493</v>
      </c>
      <c r="C32" s="24" t="s">
        <v>432</v>
      </c>
      <c r="D32" s="62" t="s">
        <v>433</v>
      </c>
      <c r="E32" s="62" t="s">
        <v>434</v>
      </c>
      <c r="F32" s="24" t="s">
        <v>113</v>
      </c>
      <c r="G32" s="26" t="s">
        <v>435</v>
      </c>
      <c r="H32" s="64" t="s">
        <v>436</v>
      </c>
      <c r="I32" s="65">
        <v>16</v>
      </c>
      <c r="J32" s="66">
        <v>19872</v>
      </c>
      <c r="K32" s="66">
        <v>76</v>
      </c>
      <c r="L32" s="66">
        <v>5600</v>
      </c>
      <c r="M32" s="66">
        <v>1200</v>
      </c>
      <c r="N32" s="66">
        <v>3760</v>
      </c>
      <c r="O32" s="66">
        <v>0</v>
      </c>
      <c r="P32" s="66">
        <v>0</v>
      </c>
      <c r="Q32" s="66">
        <v>300</v>
      </c>
      <c r="R32" s="66">
        <v>70</v>
      </c>
      <c r="S32" s="66">
        <v>4876</v>
      </c>
      <c r="T32" s="66">
        <v>590</v>
      </c>
      <c r="U32" s="66">
        <v>1600</v>
      </c>
      <c r="V32" s="66">
        <v>1800</v>
      </c>
    </row>
    <row r="33" spans="1:22" ht="15.6" x14ac:dyDescent="0.3">
      <c r="A33" s="24" t="s">
        <v>437</v>
      </c>
      <c r="B33" s="61" t="s">
        <v>494</v>
      </c>
      <c r="C33" s="24" t="s">
        <v>438</v>
      </c>
      <c r="D33" s="62" t="s">
        <v>439</v>
      </c>
      <c r="E33" s="62" t="s">
        <v>262</v>
      </c>
      <c r="F33" s="24" t="s">
        <v>113</v>
      </c>
      <c r="G33" s="26" t="s">
        <v>440</v>
      </c>
      <c r="H33" s="64" t="s">
        <v>441</v>
      </c>
      <c r="I33" s="65">
        <v>16</v>
      </c>
      <c r="J33" s="66">
        <v>9393</v>
      </c>
      <c r="K33" s="66">
        <v>1280</v>
      </c>
      <c r="L33" s="66">
        <v>3398</v>
      </c>
      <c r="M33" s="66">
        <v>185</v>
      </c>
      <c r="N33" s="66">
        <v>0</v>
      </c>
      <c r="O33" s="66">
        <v>80</v>
      </c>
      <c r="P33" s="66">
        <v>1500</v>
      </c>
      <c r="Q33" s="66">
        <v>600</v>
      </c>
      <c r="R33" s="66">
        <v>700</v>
      </c>
      <c r="S33" s="66">
        <v>960</v>
      </c>
      <c r="T33" s="66">
        <v>0</v>
      </c>
      <c r="U33" s="66">
        <v>510</v>
      </c>
      <c r="V33" s="66">
        <v>180</v>
      </c>
    </row>
    <row r="37" spans="1:22" ht="25.8" x14ac:dyDescent="0.5">
      <c r="A37" s="84" t="s">
        <v>528</v>
      </c>
    </row>
    <row r="40" spans="1:22" ht="22.8" x14ac:dyDescent="0.3">
      <c r="A40" s="17" t="s">
        <v>0</v>
      </c>
      <c r="B40" s="17" t="s">
        <v>1</v>
      </c>
      <c r="C40" s="19" t="s">
        <v>213</v>
      </c>
      <c r="D40" s="19" t="s">
        <v>214</v>
      </c>
      <c r="E40" s="19" t="s">
        <v>215</v>
      </c>
      <c r="F40" s="19" t="s">
        <v>216</v>
      </c>
      <c r="G40" s="19" t="s">
        <v>23</v>
      </c>
      <c r="H40" s="19" t="s">
        <v>217</v>
      </c>
      <c r="I40" s="18" t="s">
        <v>21</v>
      </c>
      <c r="J40" s="18" t="s">
        <v>7</v>
      </c>
      <c r="K40" s="18" t="s">
        <v>8</v>
      </c>
      <c r="L40" s="18" t="s">
        <v>9</v>
      </c>
      <c r="M40" s="18" t="s">
        <v>10</v>
      </c>
      <c r="N40" s="18" t="s">
        <v>11</v>
      </c>
      <c r="O40" s="18" t="s">
        <v>12</v>
      </c>
      <c r="P40" s="18" t="s">
        <v>13</v>
      </c>
      <c r="Q40" s="18" t="s">
        <v>14</v>
      </c>
      <c r="R40" s="18" t="s">
        <v>15</v>
      </c>
      <c r="S40" s="18" t="s">
        <v>16</v>
      </c>
      <c r="T40" s="18" t="s">
        <v>17</v>
      </c>
      <c r="U40" s="18" t="s">
        <v>18</v>
      </c>
      <c r="V40" s="18" t="s">
        <v>19</v>
      </c>
    </row>
    <row r="41" spans="1:22" ht="15" x14ac:dyDescent="0.3">
      <c r="A41" s="33" t="s">
        <v>91</v>
      </c>
      <c r="B41" s="33" t="s">
        <v>194</v>
      </c>
      <c r="C41" s="33" t="s">
        <v>209</v>
      </c>
      <c r="D41" s="34" t="s">
        <v>219</v>
      </c>
      <c r="E41" s="34" t="s">
        <v>187</v>
      </c>
      <c r="F41" s="35" t="s">
        <v>525</v>
      </c>
      <c r="G41" s="36">
        <v>300</v>
      </c>
      <c r="H41" s="36">
        <v>500</v>
      </c>
      <c r="I41" s="67">
        <v>24</v>
      </c>
      <c r="J41" s="42">
        <v>25000</v>
      </c>
      <c r="K41" s="37">
        <v>2500</v>
      </c>
      <c r="L41" s="37">
        <v>3000</v>
      </c>
      <c r="M41" s="37">
        <v>2000</v>
      </c>
      <c r="N41" s="37">
        <v>2500</v>
      </c>
      <c r="O41" s="37">
        <v>2000</v>
      </c>
      <c r="P41" s="37">
        <v>2000</v>
      </c>
      <c r="Q41" s="37">
        <v>1000</v>
      </c>
      <c r="R41" s="37">
        <v>2000</v>
      </c>
      <c r="S41" s="37">
        <v>2000</v>
      </c>
      <c r="T41" s="37">
        <v>2000</v>
      </c>
      <c r="U41" s="37">
        <v>2000</v>
      </c>
      <c r="V41" s="37">
        <v>2000</v>
      </c>
    </row>
    <row r="42" spans="1:22" ht="15" x14ac:dyDescent="0.3">
      <c r="A42" s="33" t="s">
        <v>90</v>
      </c>
      <c r="B42" s="33" t="s">
        <v>188</v>
      </c>
      <c r="C42" s="33" t="s">
        <v>209</v>
      </c>
      <c r="D42" s="34" t="s">
        <v>220</v>
      </c>
      <c r="E42" s="34" t="s">
        <v>187</v>
      </c>
      <c r="F42" s="35" t="s">
        <v>220</v>
      </c>
      <c r="G42" s="36">
        <v>200</v>
      </c>
      <c r="H42" s="36">
        <v>900</v>
      </c>
      <c r="I42" s="67">
        <v>24</v>
      </c>
      <c r="J42" s="42">
        <v>45900</v>
      </c>
      <c r="K42" s="37">
        <v>3600</v>
      </c>
      <c r="L42" s="37">
        <v>4500</v>
      </c>
      <c r="M42" s="37">
        <v>3600</v>
      </c>
      <c r="N42" s="37">
        <v>1800</v>
      </c>
      <c r="O42" s="37">
        <v>2700</v>
      </c>
      <c r="P42" s="37">
        <v>3600</v>
      </c>
      <c r="Q42" s="37">
        <v>4500</v>
      </c>
      <c r="R42" s="37">
        <v>5400</v>
      </c>
      <c r="S42" s="37">
        <v>3600</v>
      </c>
      <c r="T42" s="37">
        <v>4500</v>
      </c>
      <c r="U42" s="37">
        <v>3600</v>
      </c>
      <c r="V42" s="37">
        <v>4500</v>
      </c>
    </row>
    <row r="43" spans="1:22" ht="15" x14ac:dyDescent="0.3">
      <c r="A43" s="33" t="s">
        <v>85</v>
      </c>
      <c r="B43" s="33" t="s">
        <v>199</v>
      </c>
      <c r="C43" s="33" t="s">
        <v>209</v>
      </c>
      <c r="D43" s="34" t="s">
        <v>216</v>
      </c>
      <c r="E43" s="34" t="s">
        <v>228</v>
      </c>
      <c r="F43" s="35" t="s">
        <v>221</v>
      </c>
      <c r="G43" s="36">
        <v>50</v>
      </c>
      <c r="H43" s="36">
        <v>170</v>
      </c>
      <c r="I43" s="67">
        <v>25</v>
      </c>
      <c r="J43" s="42">
        <v>8670</v>
      </c>
      <c r="K43" s="37">
        <v>850</v>
      </c>
      <c r="L43" s="37">
        <v>510</v>
      </c>
      <c r="M43" s="37">
        <v>680</v>
      </c>
      <c r="N43" s="37">
        <v>340</v>
      </c>
      <c r="O43" s="37">
        <v>850</v>
      </c>
      <c r="P43" s="37">
        <v>680</v>
      </c>
      <c r="Q43" s="37">
        <v>1020</v>
      </c>
      <c r="R43" s="37">
        <v>680</v>
      </c>
      <c r="S43" s="37">
        <v>510</v>
      </c>
      <c r="T43" s="37">
        <v>680</v>
      </c>
      <c r="U43" s="37">
        <v>850</v>
      </c>
      <c r="V43" s="37">
        <v>1020</v>
      </c>
    </row>
    <row r="47" spans="1:22" ht="21" x14ac:dyDescent="0.3">
      <c r="A47" s="87" t="s">
        <v>530</v>
      </c>
    </row>
    <row r="50" spans="1:19" ht="21" x14ac:dyDescent="0.3">
      <c r="A50" s="5" t="s">
        <v>105</v>
      </c>
      <c r="B50" s="5" t="s">
        <v>106</v>
      </c>
      <c r="C50" s="5" t="s">
        <v>118</v>
      </c>
      <c r="D50" s="5" t="s">
        <v>107</v>
      </c>
      <c r="E50" s="5" t="s">
        <v>110</v>
      </c>
      <c r="F50" s="5" t="s">
        <v>1</v>
      </c>
      <c r="G50" s="5" t="s">
        <v>213</v>
      </c>
      <c r="H50" s="5" t="s">
        <v>214</v>
      </c>
      <c r="I50" s="5" t="s">
        <v>215</v>
      </c>
      <c r="J50" s="5" t="s">
        <v>216</v>
      </c>
      <c r="K50" s="5" t="s">
        <v>119</v>
      </c>
      <c r="L50" s="68" t="s">
        <v>238</v>
      </c>
      <c r="M50" s="5" t="s">
        <v>234</v>
      </c>
      <c r="N50" s="5" t="s">
        <v>5</v>
      </c>
      <c r="O50" s="5" t="s">
        <v>111</v>
      </c>
      <c r="P50" s="68" t="s">
        <v>2</v>
      </c>
      <c r="Q50" s="5" t="s">
        <v>3</v>
      </c>
      <c r="R50" s="5" t="s">
        <v>5</v>
      </c>
      <c r="S50" s="5" t="s">
        <v>111</v>
      </c>
    </row>
    <row r="51" spans="1:19" ht="15" x14ac:dyDescent="0.3">
      <c r="A51" s="24">
        <v>311</v>
      </c>
      <c r="B51" s="45">
        <v>44067</v>
      </c>
      <c r="C51" s="24">
        <v>8</v>
      </c>
      <c r="D51" s="46">
        <v>105</v>
      </c>
      <c r="E51" s="24" t="s">
        <v>79</v>
      </c>
      <c r="F51" s="24" t="s">
        <v>205</v>
      </c>
      <c r="G51" s="24" t="s">
        <v>207</v>
      </c>
      <c r="H51" s="24" t="s">
        <v>221</v>
      </c>
      <c r="I51" s="24" t="s">
        <v>229</v>
      </c>
      <c r="J51" s="24" t="s">
        <v>221</v>
      </c>
      <c r="K51" s="24">
        <v>3</v>
      </c>
      <c r="L51" s="24" t="s">
        <v>75</v>
      </c>
      <c r="M51" s="24" t="s">
        <v>26</v>
      </c>
      <c r="N51" s="24" t="s">
        <v>249</v>
      </c>
      <c r="O51" s="24" t="s">
        <v>289</v>
      </c>
      <c r="P51" s="24" t="s">
        <v>459</v>
      </c>
      <c r="Q51" s="24" t="s">
        <v>498</v>
      </c>
      <c r="R51" s="24" t="s">
        <v>462</v>
      </c>
      <c r="S51" s="24" t="s">
        <v>113</v>
      </c>
    </row>
    <row r="52" spans="1:19" ht="15" x14ac:dyDescent="0.3">
      <c r="A52" s="24">
        <v>307</v>
      </c>
      <c r="B52" s="45">
        <v>44063</v>
      </c>
      <c r="C52" s="24">
        <v>8</v>
      </c>
      <c r="D52" s="46">
        <v>80</v>
      </c>
      <c r="E52" s="24" t="s">
        <v>97</v>
      </c>
      <c r="F52" s="24" t="s">
        <v>189</v>
      </c>
      <c r="G52" s="24" t="s">
        <v>207</v>
      </c>
      <c r="H52" s="24" t="s">
        <v>211</v>
      </c>
      <c r="I52" s="24" t="s">
        <v>227</v>
      </c>
      <c r="J52" s="24" t="s">
        <v>186</v>
      </c>
      <c r="K52" s="24">
        <v>1</v>
      </c>
      <c r="L52" s="24" t="s">
        <v>72</v>
      </c>
      <c r="M52" s="24" t="s">
        <v>250</v>
      </c>
      <c r="N52" s="24" t="s">
        <v>253</v>
      </c>
      <c r="O52" s="24" t="s">
        <v>384</v>
      </c>
      <c r="P52" s="24" t="s">
        <v>459</v>
      </c>
      <c r="Q52" s="24" t="s">
        <v>498</v>
      </c>
      <c r="R52" s="24" t="s">
        <v>462</v>
      </c>
      <c r="S52" s="24" t="s">
        <v>113</v>
      </c>
    </row>
    <row r="53" spans="1:19" ht="15" x14ac:dyDescent="0.3">
      <c r="A53" s="24">
        <v>301</v>
      </c>
      <c r="B53" s="45">
        <v>44057</v>
      </c>
      <c r="C53" s="24">
        <v>8</v>
      </c>
      <c r="D53" s="46">
        <v>1500</v>
      </c>
      <c r="E53" s="24" t="s">
        <v>91</v>
      </c>
      <c r="F53" s="24" t="s">
        <v>194</v>
      </c>
      <c r="G53" s="24" t="s">
        <v>209</v>
      </c>
      <c r="H53" s="24" t="s">
        <v>219</v>
      </c>
      <c r="I53" s="24" t="s">
        <v>187</v>
      </c>
      <c r="J53" s="24" t="s">
        <v>186</v>
      </c>
      <c r="K53" s="24">
        <v>3</v>
      </c>
      <c r="L53" s="24" t="s">
        <v>71</v>
      </c>
      <c r="M53" s="24" t="s">
        <v>271</v>
      </c>
      <c r="N53" s="24" t="s">
        <v>286</v>
      </c>
      <c r="O53" s="24" t="s">
        <v>288</v>
      </c>
      <c r="P53" s="24" t="s">
        <v>459</v>
      </c>
      <c r="Q53" s="24" t="s">
        <v>498</v>
      </c>
      <c r="R53" s="24" t="s">
        <v>462</v>
      </c>
      <c r="S53" s="24" t="s">
        <v>113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B15"/>
  <sheetViews>
    <sheetView zoomScaleNormal="100" workbookViewId="0"/>
  </sheetViews>
  <sheetFormatPr defaultColWidth="9.109375" defaultRowHeight="14.4" x14ac:dyDescent="0.3"/>
  <cols>
    <col min="1" max="1" width="38.109375" style="7" customWidth="1"/>
    <col min="2" max="2" width="23.44140625" style="7" customWidth="1"/>
    <col min="3" max="16384" width="9.109375" style="7"/>
  </cols>
  <sheetData>
    <row r="2" spans="1:2" ht="25.8" x14ac:dyDescent="0.5">
      <c r="A2" s="84" t="s">
        <v>517</v>
      </c>
    </row>
    <row r="5" spans="1:2" x14ac:dyDescent="0.3">
      <c r="A5" s="79" t="s">
        <v>512</v>
      </c>
      <c r="B5" t="s">
        <v>514</v>
      </c>
    </row>
    <row r="6" spans="1:2" x14ac:dyDescent="0.3">
      <c r="A6" s="80" t="s">
        <v>230</v>
      </c>
      <c r="B6" s="82">
        <v>180</v>
      </c>
    </row>
    <row r="7" spans="1:2" x14ac:dyDescent="0.3">
      <c r="A7" s="81" t="s">
        <v>197</v>
      </c>
      <c r="B7" s="82">
        <v>24</v>
      </c>
    </row>
    <row r="8" spans="1:2" x14ac:dyDescent="0.3">
      <c r="A8" s="81" t="s">
        <v>196</v>
      </c>
      <c r="B8" s="82">
        <v>24</v>
      </c>
    </row>
    <row r="9" spans="1:2" x14ac:dyDescent="0.3">
      <c r="A9" s="81" t="s">
        <v>185</v>
      </c>
      <c r="B9" s="82">
        <v>16</v>
      </c>
    </row>
    <row r="10" spans="1:2" x14ac:dyDescent="0.3">
      <c r="A10" s="81" t="s">
        <v>183</v>
      </c>
      <c r="B10" s="82">
        <v>16</v>
      </c>
    </row>
    <row r="11" spans="1:2" x14ac:dyDescent="0.3">
      <c r="A11" s="81" t="s">
        <v>198</v>
      </c>
      <c r="B11" s="82">
        <v>25</v>
      </c>
    </row>
    <row r="12" spans="1:2" x14ac:dyDescent="0.3">
      <c r="A12" s="81" t="s">
        <v>203</v>
      </c>
      <c r="B12" s="82">
        <v>25</v>
      </c>
    </row>
    <row r="13" spans="1:2" x14ac:dyDescent="0.3">
      <c r="A13" s="81" t="s">
        <v>201</v>
      </c>
      <c r="B13" s="82">
        <v>25</v>
      </c>
    </row>
    <row r="14" spans="1:2" x14ac:dyDescent="0.3">
      <c r="A14" s="81" t="s">
        <v>202</v>
      </c>
      <c r="B14" s="82">
        <v>25</v>
      </c>
    </row>
    <row r="15" spans="1:2" x14ac:dyDescent="0.3">
      <c r="A15" s="80" t="s">
        <v>513</v>
      </c>
      <c r="B15" s="82">
        <v>180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B60"/>
  <sheetViews>
    <sheetView workbookViewId="0">
      <selection activeCell="T3" sqref="T3"/>
    </sheetView>
  </sheetViews>
  <sheetFormatPr defaultColWidth="9.109375" defaultRowHeight="14.4" x14ac:dyDescent="0.3"/>
  <cols>
    <col min="1" max="1" width="19.6640625" style="7" customWidth="1"/>
    <col min="2" max="2" width="18.88671875" style="7" customWidth="1"/>
    <col min="3" max="16384" width="9.109375" style="7"/>
  </cols>
  <sheetData>
    <row r="2" spans="1:2" ht="25.8" x14ac:dyDescent="0.5">
      <c r="A2" s="84" t="s">
        <v>516</v>
      </c>
    </row>
    <row r="5" spans="1:2" x14ac:dyDescent="0.3">
      <c r="A5" s="79" t="s">
        <v>512</v>
      </c>
      <c r="B5" t="s">
        <v>515</v>
      </c>
    </row>
    <row r="6" spans="1:2" x14ac:dyDescent="0.3">
      <c r="A6" s="80" t="s">
        <v>115</v>
      </c>
      <c r="B6" s="83">
        <v>62641</v>
      </c>
    </row>
    <row r="7" spans="1:2" x14ac:dyDescent="0.3">
      <c r="A7" s="81" t="s">
        <v>40</v>
      </c>
      <c r="B7" s="83">
        <v>10965</v>
      </c>
    </row>
    <row r="8" spans="1:2" x14ac:dyDescent="0.3">
      <c r="A8" s="81" t="s">
        <v>328</v>
      </c>
      <c r="B8" s="83">
        <v>7840</v>
      </c>
    </row>
    <row r="9" spans="1:2" x14ac:dyDescent="0.3">
      <c r="A9" s="81" t="s">
        <v>28</v>
      </c>
      <c r="B9" s="83">
        <v>2070</v>
      </c>
    </row>
    <row r="10" spans="1:2" x14ac:dyDescent="0.3">
      <c r="A10" s="81" t="s">
        <v>38</v>
      </c>
      <c r="B10" s="83">
        <v>10490</v>
      </c>
    </row>
    <row r="11" spans="1:2" x14ac:dyDescent="0.3">
      <c r="A11" s="81" t="s">
        <v>34</v>
      </c>
      <c r="B11" s="83">
        <v>3387</v>
      </c>
    </row>
    <row r="12" spans="1:2" x14ac:dyDescent="0.3">
      <c r="A12" s="81" t="s">
        <v>323</v>
      </c>
      <c r="B12" s="83">
        <v>5795</v>
      </c>
    </row>
    <row r="13" spans="1:2" x14ac:dyDescent="0.3">
      <c r="A13" s="81" t="s">
        <v>501</v>
      </c>
      <c r="B13" s="83">
        <v>9450</v>
      </c>
    </row>
    <row r="14" spans="1:2" x14ac:dyDescent="0.3">
      <c r="A14" s="81" t="s">
        <v>311</v>
      </c>
      <c r="B14" s="83">
        <v>3365</v>
      </c>
    </row>
    <row r="15" spans="1:2" x14ac:dyDescent="0.3">
      <c r="A15" s="81" t="s">
        <v>291</v>
      </c>
      <c r="B15" s="83">
        <v>9279</v>
      </c>
    </row>
    <row r="16" spans="1:2" x14ac:dyDescent="0.3">
      <c r="A16" s="80" t="s">
        <v>116</v>
      </c>
      <c r="B16" s="83">
        <v>12853</v>
      </c>
    </row>
    <row r="17" spans="1:2" x14ac:dyDescent="0.3">
      <c r="A17" s="81" t="s">
        <v>30</v>
      </c>
      <c r="B17" s="83">
        <v>3741</v>
      </c>
    </row>
    <row r="18" spans="1:2" x14ac:dyDescent="0.3">
      <c r="A18" s="81" t="s">
        <v>325</v>
      </c>
      <c r="B18" s="83">
        <v>5010</v>
      </c>
    </row>
    <row r="19" spans="1:2" x14ac:dyDescent="0.3">
      <c r="A19" s="81" t="s">
        <v>39</v>
      </c>
      <c r="B19" s="83">
        <v>4102</v>
      </c>
    </row>
    <row r="20" spans="1:2" x14ac:dyDescent="0.3">
      <c r="A20" s="80" t="s">
        <v>114</v>
      </c>
      <c r="B20" s="83">
        <v>69774</v>
      </c>
    </row>
    <row r="21" spans="1:2" x14ac:dyDescent="0.3">
      <c r="A21" s="81" t="s">
        <v>36</v>
      </c>
      <c r="B21" s="83">
        <v>3550</v>
      </c>
    </row>
    <row r="22" spans="1:2" x14ac:dyDescent="0.3">
      <c r="A22" s="81" t="s">
        <v>317</v>
      </c>
      <c r="B22" s="83">
        <v>12580</v>
      </c>
    </row>
    <row r="23" spans="1:2" x14ac:dyDescent="0.3">
      <c r="A23" s="81" t="s">
        <v>26</v>
      </c>
      <c r="B23" s="83">
        <v>7418</v>
      </c>
    </row>
    <row r="24" spans="1:2" x14ac:dyDescent="0.3">
      <c r="A24" s="81" t="s">
        <v>488</v>
      </c>
      <c r="B24" s="83">
        <v>4510</v>
      </c>
    </row>
    <row r="25" spans="1:2" x14ac:dyDescent="0.3">
      <c r="A25" s="81" t="s">
        <v>31</v>
      </c>
      <c r="B25" s="83">
        <v>6838</v>
      </c>
    </row>
    <row r="26" spans="1:2" x14ac:dyDescent="0.3">
      <c r="A26" s="81" t="s">
        <v>42</v>
      </c>
      <c r="B26" s="83">
        <v>25118</v>
      </c>
    </row>
    <row r="27" spans="1:2" x14ac:dyDescent="0.3">
      <c r="A27" s="81" t="s">
        <v>333</v>
      </c>
      <c r="B27" s="83">
        <v>9760</v>
      </c>
    </row>
    <row r="28" spans="1:2" x14ac:dyDescent="0.3">
      <c r="A28" s="80" t="s">
        <v>113</v>
      </c>
      <c r="B28" s="83">
        <v>241357</v>
      </c>
    </row>
    <row r="29" spans="1:2" x14ac:dyDescent="0.3">
      <c r="A29" s="81" t="s">
        <v>485</v>
      </c>
      <c r="B29" s="83">
        <v>7425</v>
      </c>
    </row>
    <row r="30" spans="1:2" x14ac:dyDescent="0.3">
      <c r="A30" s="81" t="s">
        <v>500</v>
      </c>
      <c r="B30" s="83">
        <v>3080</v>
      </c>
    </row>
    <row r="31" spans="1:2" x14ac:dyDescent="0.3">
      <c r="A31" s="81" t="s">
        <v>495</v>
      </c>
      <c r="B31" s="83">
        <v>2878</v>
      </c>
    </row>
    <row r="32" spans="1:2" x14ac:dyDescent="0.3">
      <c r="A32" s="81" t="s">
        <v>496</v>
      </c>
      <c r="B32" s="83">
        <v>7740</v>
      </c>
    </row>
    <row r="33" spans="1:2" x14ac:dyDescent="0.3">
      <c r="A33" s="81" t="s">
        <v>497</v>
      </c>
      <c r="B33" s="83">
        <v>9630</v>
      </c>
    </row>
    <row r="34" spans="1:2" x14ac:dyDescent="0.3">
      <c r="A34" s="81" t="s">
        <v>29</v>
      </c>
      <c r="B34" s="83">
        <v>15310</v>
      </c>
    </row>
    <row r="35" spans="1:2" x14ac:dyDescent="0.3">
      <c r="A35" s="81" t="s">
        <v>498</v>
      </c>
      <c r="B35" s="83">
        <v>11961</v>
      </c>
    </row>
    <row r="36" spans="1:2" x14ac:dyDescent="0.3">
      <c r="A36" s="81" t="s">
        <v>43</v>
      </c>
      <c r="B36" s="83">
        <v>2505</v>
      </c>
    </row>
    <row r="37" spans="1:2" x14ac:dyDescent="0.3">
      <c r="A37" s="81" t="s">
        <v>499</v>
      </c>
      <c r="B37" s="83">
        <v>12046</v>
      </c>
    </row>
    <row r="38" spans="1:2" x14ac:dyDescent="0.3">
      <c r="A38" s="81" t="s">
        <v>37</v>
      </c>
      <c r="B38" s="83">
        <v>14098</v>
      </c>
    </row>
    <row r="39" spans="1:2" x14ac:dyDescent="0.3">
      <c r="A39" s="81" t="s">
        <v>314</v>
      </c>
      <c r="B39" s="83">
        <v>4670</v>
      </c>
    </row>
    <row r="40" spans="1:2" x14ac:dyDescent="0.3">
      <c r="A40" s="81" t="s">
        <v>487</v>
      </c>
      <c r="B40" s="83">
        <v>2987</v>
      </c>
    </row>
    <row r="41" spans="1:2" x14ac:dyDescent="0.3">
      <c r="A41" s="81" t="s">
        <v>296</v>
      </c>
      <c r="B41" s="83">
        <v>7871</v>
      </c>
    </row>
    <row r="42" spans="1:2" x14ac:dyDescent="0.3">
      <c r="A42" s="81" t="s">
        <v>33</v>
      </c>
      <c r="B42" s="83">
        <v>8860</v>
      </c>
    </row>
    <row r="43" spans="1:2" x14ac:dyDescent="0.3">
      <c r="A43" s="81" t="s">
        <v>41</v>
      </c>
      <c r="B43" s="83">
        <v>4932</v>
      </c>
    </row>
    <row r="44" spans="1:2" x14ac:dyDescent="0.3">
      <c r="A44" s="81" t="s">
        <v>477</v>
      </c>
      <c r="B44" s="83">
        <v>7865</v>
      </c>
    </row>
    <row r="45" spans="1:2" x14ac:dyDescent="0.3">
      <c r="A45" s="81" t="s">
        <v>490</v>
      </c>
      <c r="B45" s="83">
        <v>4870</v>
      </c>
    </row>
    <row r="46" spans="1:2" x14ac:dyDescent="0.3">
      <c r="A46" s="81" t="s">
        <v>335</v>
      </c>
      <c r="B46" s="83">
        <v>8695</v>
      </c>
    </row>
    <row r="47" spans="1:2" x14ac:dyDescent="0.3">
      <c r="A47" s="81" t="s">
        <v>489</v>
      </c>
      <c r="B47" s="83">
        <v>4850</v>
      </c>
    </row>
    <row r="48" spans="1:2" x14ac:dyDescent="0.3">
      <c r="A48" s="81" t="s">
        <v>35</v>
      </c>
      <c r="B48" s="83">
        <v>1702</v>
      </c>
    </row>
    <row r="49" spans="1:2" x14ac:dyDescent="0.3">
      <c r="A49" s="81" t="s">
        <v>492</v>
      </c>
      <c r="B49" s="83">
        <v>6885</v>
      </c>
    </row>
    <row r="50" spans="1:2" x14ac:dyDescent="0.3">
      <c r="A50" s="81" t="s">
        <v>320</v>
      </c>
      <c r="B50" s="83">
        <v>8310</v>
      </c>
    </row>
    <row r="51" spans="1:2" x14ac:dyDescent="0.3">
      <c r="A51" s="81" t="s">
        <v>494</v>
      </c>
      <c r="B51" s="83">
        <v>9393</v>
      </c>
    </row>
    <row r="52" spans="1:2" x14ac:dyDescent="0.3">
      <c r="A52" s="81" t="s">
        <v>486</v>
      </c>
      <c r="B52" s="83">
        <v>18831</v>
      </c>
    </row>
    <row r="53" spans="1:2" x14ac:dyDescent="0.3">
      <c r="A53" s="81" t="s">
        <v>491</v>
      </c>
      <c r="B53" s="83">
        <v>3652</v>
      </c>
    </row>
    <row r="54" spans="1:2" x14ac:dyDescent="0.3">
      <c r="A54" s="81" t="s">
        <v>25</v>
      </c>
      <c r="B54" s="83">
        <v>6270</v>
      </c>
    </row>
    <row r="55" spans="1:2" x14ac:dyDescent="0.3">
      <c r="A55" s="81" t="s">
        <v>24</v>
      </c>
      <c r="B55" s="83">
        <v>6445</v>
      </c>
    </row>
    <row r="56" spans="1:2" x14ac:dyDescent="0.3">
      <c r="A56" s="81" t="s">
        <v>32</v>
      </c>
      <c r="B56" s="83">
        <v>2862</v>
      </c>
    </row>
    <row r="57" spans="1:2" x14ac:dyDescent="0.3">
      <c r="A57" s="81" t="s">
        <v>27</v>
      </c>
      <c r="B57" s="83">
        <v>7360</v>
      </c>
    </row>
    <row r="58" spans="1:2" x14ac:dyDescent="0.3">
      <c r="A58" s="81" t="s">
        <v>493</v>
      </c>
      <c r="B58" s="83">
        <v>19872</v>
      </c>
    </row>
    <row r="59" spans="1:2" x14ac:dyDescent="0.3">
      <c r="A59" s="81" t="s">
        <v>330</v>
      </c>
      <c r="B59" s="83">
        <v>7502</v>
      </c>
    </row>
    <row r="60" spans="1:2" x14ac:dyDescent="0.3">
      <c r="A60" s="80" t="s">
        <v>513</v>
      </c>
      <c r="B60" s="83">
        <v>386625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B203"/>
  <sheetViews>
    <sheetView workbookViewId="0"/>
  </sheetViews>
  <sheetFormatPr defaultColWidth="9.109375" defaultRowHeight="14.4" x14ac:dyDescent="0.3"/>
  <cols>
    <col min="1" max="1" width="42.109375" style="7" bestFit="1" customWidth="1"/>
    <col min="2" max="2" width="14.33203125" style="7" bestFit="1" customWidth="1"/>
    <col min="3" max="16384" width="9.109375" style="7"/>
  </cols>
  <sheetData>
    <row r="3" spans="1:2" ht="25.8" x14ac:dyDescent="0.5">
      <c r="A3" s="84" t="s">
        <v>519</v>
      </c>
    </row>
    <row r="6" spans="1:2" x14ac:dyDescent="0.3">
      <c r="A6" s="79" t="s">
        <v>512</v>
      </c>
      <c r="B6" t="s">
        <v>520</v>
      </c>
    </row>
    <row r="7" spans="1:2" x14ac:dyDescent="0.3">
      <c r="A7" s="80" t="s">
        <v>384</v>
      </c>
      <c r="B7" s="83">
        <v>98456</v>
      </c>
    </row>
    <row r="8" spans="1:2" x14ac:dyDescent="0.3">
      <c r="A8" s="81" t="s">
        <v>250</v>
      </c>
      <c r="B8" s="83">
        <v>53880</v>
      </c>
    </row>
    <row r="9" spans="1:2" x14ac:dyDescent="0.3">
      <c r="A9" s="85" t="s">
        <v>205</v>
      </c>
      <c r="B9" s="83">
        <v>140</v>
      </c>
    </row>
    <row r="10" spans="1:2" x14ac:dyDescent="0.3">
      <c r="A10" s="85" t="s">
        <v>204</v>
      </c>
      <c r="B10" s="83">
        <v>120</v>
      </c>
    </row>
    <row r="11" spans="1:2" x14ac:dyDescent="0.3">
      <c r="A11" s="85" t="s">
        <v>206</v>
      </c>
      <c r="B11" s="83">
        <v>420</v>
      </c>
    </row>
    <row r="12" spans="1:2" x14ac:dyDescent="0.3">
      <c r="A12" s="85" t="s">
        <v>195</v>
      </c>
      <c r="B12" s="83">
        <v>540</v>
      </c>
    </row>
    <row r="13" spans="1:2" x14ac:dyDescent="0.3">
      <c r="A13" s="85" t="s">
        <v>189</v>
      </c>
      <c r="B13" s="83">
        <v>80</v>
      </c>
    </row>
    <row r="14" spans="1:2" x14ac:dyDescent="0.3">
      <c r="A14" s="85" t="s">
        <v>191</v>
      </c>
      <c r="B14" s="83">
        <v>400</v>
      </c>
    </row>
    <row r="15" spans="1:2" x14ac:dyDescent="0.3">
      <c r="A15" s="85" t="s">
        <v>196</v>
      </c>
      <c r="B15" s="83">
        <v>350</v>
      </c>
    </row>
    <row r="16" spans="1:2" x14ac:dyDescent="0.3">
      <c r="A16" s="85" t="s">
        <v>190</v>
      </c>
      <c r="B16" s="83">
        <v>360</v>
      </c>
    </row>
    <row r="17" spans="1:2" x14ac:dyDescent="0.3">
      <c r="A17" s="85" t="s">
        <v>185</v>
      </c>
      <c r="B17" s="83">
        <v>14000</v>
      </c>
    </row>
    <row r="18" spans="1:2" x14ac:dyDescent="0.3">
      <c r="A18" s="85" t="s">
        <v>183</v>
      </c>
      <c r="B18" s="83">
        <v>6400</v>
      </c>
    </row>
    <row r="19" spans="1:2" x14ac:dyDescent="0.3">
      <c r="A19" s="85" t="s">
        <v>199</v>
      </c>
      <c r="B19" s="83">
        <v>1190</v>
      </c>
    </row>
    <row r="20" spans="1:2" x14ac:dyDescent="0.3">
      <c r="A20" s="85" t="s">
        <v>198</v>
      </c>
      <c r="B20" s="83">
        <v>6000</v>
      </c>
    </row>
    <row r="21" spans="1:2" x14ac:dyDescent="0.3">
      <c r="A21" s="85" t="s">
        <v>200</v>
      </c>
      <c r="B21" s="83">
        <v>4400</v>
      </c>
    </row>
    <row r="22" spans="1:2" x14ac:dyDescent="0.3">
      <c r="A22" s="85" t="s">
        <v>192</v>
      </c>
      <c r="B22" s="83">
        <v>300</v>
      </c>
    </row>
    <row r="23" spans="1:2" x14ac:dyDescent="0.3">
      <c r="A23" s="85" t="s">
        <v>193</v>
      </c>
      <c r="B23" s="83">
        <v>1400</v>
      </c>
    </row>
    <row r="24" spans="1:2" x14ac:dyDescent="0.3">
      <c r="A24" s="85" t="s">
        <v>194</v>
      </c>
      <c r="B24" s="83">
        <v>2000</v>
      </c>
    </row>
    <row r="25" spans="1:2" x14ac:dyDescent="0.3">
      <c r="A25" s="85" t="s">
        <v>188</v>
      </c>
      <c r="B25" s="83">
        <v>4500</v>
      </c>
    </row>
    <row r="26" spans="1:2" x14ac:dyDescent="0.3">
      <c r="A26" s="85" t="s">
        <v>203</v>
      </c>
      <c r="B26" s="83">
        <v>1000</v>
      </c>
    </row>
    <row r="27" spans="1:2" x14ac:dyDescent="0.3">
      <c r="A27" s="85" t="s">
        <v>225</v>
      </c>
      <c r="B27" s="83">
        <v>1080</v>
      </c>
    </row>
    <row r="28" spans="1:2" x14ac:dyDescent="0.3">
      <c r="A28" s="85" t="s">
        <v>201</v>
      </c>
      <c r="B28" s="83">
        <v>8000</v>
      </c>
    </row>
    <row r="29" spans="1:2" x14ac:dyDescent="0.3">
      <c r="A29" s="85" t="s">
        <v>202</v>
      </c>
      <c r="B29" s="83">
        <v>1200</v>
      </c>
    </row>
    <row r="30" spans="1:2" x14ac:dyDescent="0.3">
      <c r="A30" s="81" t="s">
        <v>381</v>
      </c>
      <c r="B30" s="83">
        <v>44576</v>
      </c>
    </row>
    <row r="31" spans="1:2" x14ac:dyDescent="0.3">
      <c r="A31" s="85" t="s">
        <v>205</v>
      </c>
      <c r="B31" s="83">
        <v>210</v>
      </c>
    </row>
    <row r="32" spans="1:2" x14ac:dyDescent="0.3">
      <c r="A32" s="85" t="s">
        <v>204</v>
      </c>
      <c r="B32" s="83">
        <v>400</v>
      </c>
    </row>
    <row r="33" spans="1:2" x14ac:dyDescent="0.3">
      <c r="A33" s="85" t="s">
        <v>206</v>
      </c>
      <c r="B33" s="83">
        <v>270</v>
      </c>
    </row>
    <row r="34" spans="1:2" x14ac:dyDescent="0.3">
      <c r="A34" s="85" t="s">
        <v>195</v>
      </c>
      <c r="B34" s="83">
        <v>360</v>
      </c>
    </row>
    <row r="35" spans="1:2" x14ac:dyDescent="0.3">
      <c r="A35" s="85" t="s">
        <v>197</v>
      </c>
      <c r="B35" s="83">
        <v>836</v>
      </c>
    </row>
    <row r="36" spans="1:2" x14ac:dyDescent="0.3">
      <c r="A36" s="85" t="s">
        <v>189</v>
      </c>
      <c r="B36" s="83">
        <v>240</v>
      </c>
    </row>
    <row r="37" spans="1:2" x14ac:dyDescent="0.3">
      <c r="A37" s="85" t="s">
        <v>191</v>
      </c>
      <c r="B37" s="83">
        <v>1000</v>
      </c>
    </row>
    <row r="38" spans="1:2" x14ac:dyDescent="0.3">
      <c r="A38" s="85" t="s">
        <v>196</v>
      </c>
      <c r="B38" s="83">
        <v>350</v>
      </c>
    </row>
    <row r="39" spans="1:2" x14ac:dyDescent="0.3">
      <c r="A39" s="85" t="s">
        <v>190</v>
      </c>
      <c r="B39" s="83">
        <v>180</v>
      </c>
    </row>
    <row r="40" spans="1:2" x14ac:dyDescent="0.3">
      <c r="A40" s="85" t="s">
        <v>185</v>
      </c>
      <c r="B40" s="83">
        <v>5600</v>
      </c>
    </row>
    <row r="41" spans="1:2" x14ac:dyDescent="0.3">
      <c r="A41" s="85" t="s">
        <v>183</v>
      </c>
      <c r="B41" s="83">
        <v>16000</v>
      </c>
    </row>
    <row r="42" spans="1:2" x14ac:dyDescent="0.3">
      <c r="A42" s="85" t="s">
        <v>199</v>
      </c>
      <c r="B42" s="83">
        <v>1870</v>
      </c>
    </row>
    <row r="43" spans="1:2" x14ac:dyDescent="0.3">
      <c r="A43" s="85" t="s">
        <v>198</v>
      </c>
      <c r="B43" s="83">
        <v>1200</v>
      </c>
    </row>
    <row r="44" spans="1:2" x14ac:dyDescent="0.3">
      <c r="A44" s="85" t="s">
        <v>200</v>
      </c>
      <c r="B44" s="83">
        <v>2000</v>
      </c>
    </row>
    <row r="45" spans="1:2" x14ac:dyDescent="0.3">
      <c r="A45" s="85" t="s">
        <v>192</v>
      </c>
      <c r="B45" s="83">
        <v>2100</v>
      </c>
    </row>
    <row r="46" spans="1:2" x14ac:dyDescent="0.3">
      <c r="A46" s="85" t="s">
        <v>194</v>
      </c>
      <c r="B46" s="83">
        <v>6000</v>
      </c>
    </row>
    <row r="47" spans="1:2" x14ac:dyDescent="0.3">
      <c r="A47" s="85" t="s">
        <v>203</v>
      </c>
      <c r="B47" s="83">
        <v>750</v>
      </c>
    </row>
    <row r="48" spans="1:2" x14ac:dyDescent="0.3">
      <c r="A48" s="85" t="s">
        <v>225</v>
      </c>
      <c r="B48" s="83">
        <v>810</v>
      </c>
    </row>
    <row r="49" spans="1:2" x14ac:dyDescent="0.3">
      <c r="A49" s="85" t="s">
        <v>201</v>
      </c>
      <c r="B49" s="83">
        <v>2400</v>
      </c>
    </row>
    <row r="50" spans="1:2" x14ac:dyDescent="0.3">
      <c r="A50" s="85" t="s">
        <v>202</v>
      </c>
      <c r="B50" s="83">
        <v>2000</v>
      </c>
    </row>
    <row r="51" spans="1:2" x14ac:dyDescent="0.3">
      <c r="A51" s="80" t="s">
        <v>287</v>
      </c>
      <c r="B51" s="83">
        <v>41686</v>
      </c>
    </row>
    <row r="52" spans="1:2" x14ac:dyDescent="0.3">
      <c r="A52" s="81" t="s">
        <v>273</v>
      </c>
      <c r="B52" s="83">
        <v>41686</v>
      </c>
    </row>
    <row r="53" spans="1:2" x14ac:dyDescent="0.3">
      <c r="A53" s="85" t="s">
        <v>205</v>
      </c>
      <c r="B53" s="83">
        <v>210</v>
      </c>
    </row>
    <row r="54" spans="1:2" x14ac:dyDescent="0.3">
      <c r="A54" s="85" t="s">
        <v>204</v>
      </c>
      <c r="B54" s="83">
        <v>80</v>
      </c>
    </row>
    <row r="55" spans="1:2" x14ac:dyDescent="0.3">
      <c r="A55" s="85" t="s">
        <v>206</v>
      </c>
      <c r="B55" s="83">
        <v>240</v>
      </c>
    </row>
    <row r="56" spans="1:2" x14ac:dyDescent="0.3">
      <c r="A56" s="85" t="s">
        <v>195</v>
      </c>
      <c r="B56" s="83">
        <v>60</v>
      </c>
    </row>
    <row r="57" spans="1:2" x14ac:dyDescent="0.3">
      <c r="A57" s="85" t="s">
        <v>197</v>
      </c>
      <c r="B57" s="83">
        <v>76</v>
      </c>
    </row>
    <row r="58" spans="1:2" x14ac:dyDescent="0.3">
      <c r="A58" s="85" t="s">
        <v>189</v>
      </c>
      <c r="B58" s="83">
        <v>480</v>
      </c>
    </row>
    <row r="59" spans="1:2" x14ac:dyDescent="0.3">
      <c r="A59" s="85" t="s">
        <v>196</v>
      </c>
      <c r="B59" s="83">
        <v>350</v>
      </c>
    </row>
    <row r="60" spans="1:2" x14ac:dyDescent="0.3">
      <c r="A60" s="85" t="s">
        <v>190</v>
      </c>
      <c r="B60" s="83">
        <v>480</v>
      </c>
    </row>
    <row r="61" spans="1:2" x14ac:dyDescent="0.3">
      <c r="A61" s="85" t="s">
        <v>185</v>
      </c>
      <c r="B61" s="83">
        <v>14000</v>
      </c>
    </row>
    <row r="62" spans="1:2" x14ac:dyDescent="0.3">
      <c r="A62" s="85" t="s">
        <v>199</v>
      </c>
      <c r="B62" s="83">
        <v>1530</v>
      </c>
    </row>
    <row r="63" spans="1:2" x14ac:dyDescent="0.3">
      <c r="A63" s="85" t="s">
        <v>198</v>
      </c>
      <c r="B63" s="83">
        <v>6000</v>
      </c>
    </row>
    <row r="64" spans="1:2" x14ac:dyDescent="0.3">
      <c r="A64" s="85" t="s">
        <v>200</v>
      </c>
      <c r="B64" s="83">
        <v>800</v>
      </c>
    </row>
    <row r="65" spans="1:2" x14ac:dyDescent="0.3">
      <c r="A65" s="85" t="s">
        <v>192</v>
      </c>
      <c r="B65" s="83">
        <v>1200</v>
      </c>
    </row>
    <row r="66" spans="1:2" x14ac:dyDescent="0.3">
      <c r="A66" s="85" t="s">
        <v>193</v>
      </c>
      <c r="B66" s="83">
        <v>1400</v>
      </c>
    </row>
    <row r="67" spans="1:2" x14ac:dyDescent="0.3">
      <c r="A67" s="85" t="s">
        <v>194</v>
      </c>
      <c r="B67" s="83">
        <v>1000</v>
      </c>
    </row>
    <row r="68" spans="1:2" x14ac:dyDescent="0.3">
      <c r="A68" s="85" t="s">
        <v>188</v>
      </c>
      <c r="B68" s="83">
        <v>4500</v>
      </c>
    </row>
    <row r="69" spans="1:2" x14ac:dyDescent="0.3">
      <c r="A69" s="85" t="s">
        <v>203</v>
      </c>
      <c r="B69" s="83">
        <v>3000</v>
      </c>
    </row>
    <row r="70" spans="1:2" x14ac:dyDescent="0.3">
      <c r="A70" s="85" t="s">
        <v>225</v>
      </c>
      <c r="B70" s="83">
        <v>1080</v>
      </c>
    </row>
    <row r="71" spans="1:2" x14ac:dyDescent="0.3">
      <c r="A71" s="85" t="s">
        <v>201</v>
      </c>
      <c r="B71" s="83">
        <v>1600</v>
      </c>
    </row>
    <row r="72" spans="1:2" x14ac:dyDescent="0.3">
      <c r="A72" s="85" t="s">
        <v>202</v>
      </c>
      <c r="B72" s="83">
        <v>3600</v>
      </c>
    </row>
    <row r="73" spans="1:2" x14ac:dyDescent="0.3">
      <c r="A73" s="80" t="s">
        <v>289</v>
      </c>
      <c r="B73" s="83">
        <v>44441</v>
      </c>
    </row>
    <row r="74" spans="1:2" x14ac:dyDescent="0.3">
      <c r="A74" s="81" t="s">
        <v>26</v>
      </c>
      <c r="B74" s="83">
        <v>44441</v>
      </c>
    </row>
    <row r="75" spans="1:2" x14ac:dyDescent="0.3">
      <c r="A75" s="85" t="s">
        <v>205</v>
      </c>
      <c r="B75" s="83">
        <v>245</v>
      </c>
    </row>
    <row r="76" spans="1:2" x14ac:dyDescent="0.3">
      <c r="A76" s="85" t="s">
        <v>204</v>
      </c>
      <c r="B76" s="83">
        <v>480</v>
      </c>
    </row>
    <row r="77" spans="1:2" x14ac:dyDescent="0.3">
      <c r="A77" s="85" t="s">
        <v>195</v>
      </c>
      <c r="B77" s="83">
        <v>60</v>
      </c>
    </row>
    <row r="78" spans="1:2" x14ac:dyDescent="0.3">
      <c r="A78" s="85" t="s">
        <v>197</v>
      </c>
      <c r="B78" s="83">
        <v>456</v>
      </c>
    </row>
    <row r="79" spans="1:2" x14ac:dyDescent="0.3">
      <c r="A79" s="85" t="s">
        <v>189</v>
      </c>
      <c r="B79" s="83">
        <v>160</v>
      </c>
    </row>
    <row r="80" spans="1:2" x14ac:dyDescent="0.3">
      <c r="A80" s="85" t="s">
        <v>191</v>
      </c>
      <c r="B80" s="83">
        <v>600</v>
      </c>
    </row>
    <row r="81" spans="1:2" x14ac:dyDescent="0.3">
      <c r="A81" s="85" t="s">
        <v>196</v>
      </c>
      <c r="B81" s="83">
        <v>70</v>
      </c>
    </row>
    <row r="82" spans="1:2" x14ac:dyDescent="0.3">
      <c r="A82" s="85" t="s">
        <v>190</v>
      </c>
      <c r="B82" s="83">
        <v>600</v>
      </c>
    </row>
    <row r="83" spans="1:2" x14ac:dyDescent="0.3">
      <c r="A83" s="85" t="s">
        <v>185</v>
      </c>
      <c r="B83" s="83">
        <v>8400</v>
      </c>
    </row>
    <row r="84" spans="1:2" x14ac:dyDescent="0.3">
      <c r="A84" s="85" t="s">
        <v>199</v>
      </c>
      <c r="B84" s="83">
        <v>1020</v>
      </c>
    </row>
    <row r="85" spans="1:2" x14ac:dyDescent="0.3">
      <c r="A85" s="85" t="s">
        <v>198</v>
      </c>
      <c r="B85" s="83">
        <v>4200</v>
      </c>
    </row>
    <row r="86" spans="1:2" x14ac:dyDescent="0.3">
      <c r="A86" s="85" t="s">
        <v>200</v>
      </c>
      <c r="B86" s="83">
        <v>4000</v>
      </c>
    </row>
    <row r="87" spans="1:2" x14ac:dyDescent="0.3">
      <c r="A87" s="85" t="s">
        <v>192</v>
      </c>
      <c r="B87" s="83">
        <v>1800</v>
      </c>
    </row>
    <row r="88" spans="1:2" x14ac:dyDescent="0.3">
      <c r="A88" s="85" t="s">
        <v>193</v>
      </c>
      <c r="B88" s="83">
        <v>1050</v>
      </c>
    </row>
    <row r="89" spans="1:2" x14ac:dyDescent="0.3">
      <c r="A89" s="85" t="s">
        <v>188</v>
      </c>
      <c r="B89" s="83">
        <v>9900</v>
      </c>
    </row>
    <row r="90" spans="1:2" x14ac:dyDescent="0.3">
      <c r="A90" s="85" t="s">
        <v>203</v>
      </c>
      <c r="B90" s="83">
        <v>1250</v>
      </c>
    </row>
    <row r="91" spans="1:2" x14ac:dyDescent="0.3">
      <c r="A91" s="85" t="s">
        <v>225</v>
      </c>
      <c r="B91" s="83">
        <v>1350</v>
      </c>
    </row>
    <row r="92" spans="1:2" x14ac:dyDescent="0.3">
      <c r="A92" s="85" t="s">
        <v>201</v>
      </c>
      <c r="B92" s="83">
        <v>6400</v>
      </c>
    </row>
    <row r="93" spans="1:2" x14ac:dyDescent="0.3">
      <c r="A93" s="85" t="s">
        <v>202</v>
      </c>
      <c r="B93" s="83">
        <v>2400</v>
      </c>
    </row>
    <row r="94" spans="1:2" x14ac:dyDescent="0.3">
      <c r="A94" s="80" t="s">
        <v>288</v>
      </c>
      <c r="B94" s="83">
        <v>202042</v>
      </c>
    </row>
    <row r="95" spans="1:2" x14ac:dyDescent="0.3">
      <c r="A95" s="81" t="s">
        <v>268</v>
      </c>
      <c r="B95" s="83">
        <v>31134</v>
      </c>
    </row>
    <row r="96" spans="1:2" x14ac:dyDescent="0.3">
      <c r="A96" s="85" t="s">
        <v>205</v>
      </c>
      <c r="B96" s="83">
        <v>420</v>
      </c>
    </row>
    <row r="97" spans="1:2" x14ac:dyDescent="0.3">
      <c r="A97" s="85" t="s">
        <v>204</v>
      </c>
      <c r="B97" s="83">
        <v>240</v>
      </c>
    </row>
    <row r="98" spans="1:2" x14ac:dyDescent="0.3">
      <c r="A98" s="85" t="s">
        <v>206</v>
      </c>
      <c r="B98" s="83">
        <v>210</v>
      </c>
    </row>
    <row r="99" spans="1:2" x14ac:dyDescent="0.3">
      <c r="A99" s="85" t="s">
        <v>195</v>
      </c>
      <c r="B99" s="83">
        <v>300</v>
      </c>
    </row>
    <row r="100" spans="1:2" x14ac:dyDescent="0.3">
      <c r="A100" s="85" t="s">
        <v>197</v>
      </c>
      <c r="B100" s="83">
        <v>304</v>
      </c>
    </row>
    <row r="101" spans="1:2" x14ac:dyDescent="0.3">
      <c r="A101" s="85" t="s">
        <v>189</v>
      </c>
      <c r="B101" s="83">
        <v>160</v>
      </c>
    </row>
    <row r="102" spans="1:2" x14ac:dyDescent="0.3">
      <c r="A102" s="85" t="s">
        <v>191</v>
      </c>
      <c r="B102" s="83">
        <v>200</v>
      </c>
    </row>
    <row r="103" spans="1:2" x14ac:dyDescent="0.3">
      <c r="A103" s="85" t="s">
        <v>190</v>
      </c>
      <c r="B103" s="83">
        <v>60</v>
      </c>
    </row>
    <row r="104" spans="1:2" x14ac:dyDescent="0.3">
      <c r="A104" s="85" t="s">
        <v>185</v>
      </c>
      <c r="B104" s="83">
        <v>8400</v>
      </c>
    </row>
    <row r="105" spans="1:2" x14ac:dyDescent="0.3">
      <c r="A105" s="85" t="s">
        <v>199</v>
      </c>
      <c r="B105" s="83">
        <v>170</v>
      </c>
    </row>
    <row r="106" spans="1:2" x14ac:dyDescent="0.3">
      <c r="A106" s="85" t="s">
        <v>198</v>
      </c>
      <c r="B106" s="83">
        <v>1200</v>
      </c>
    </row>
    <row r="107" spans="1:2" x14ac:dyDescent="0.3">
      <c r="A107" s="85" t="s">
        <v>200</v>
      </c>
      <c r="B107" s="83">
        <v>2800</v>
      </c>
    </row>
    <row r="108" spans="1:2" x14ac:dyDescent="0.3">
      <c r="A108" s="85" t="s">
        <v>192</v>
      </c>
      <c r="B108" s="83">
        <v>1800</v>
      </c>
    </row>
    <row r="109" spans="1:2" x14ac:dyDescent="0.3">
      <c r="A109" s="85" t="s">
        <v>193</v>
      </c>
      <c r="B109" s="83">
        <v>2100</v>
      </c>
    </row>
    <row r="110" spans="1:2" x14ac:dyDescent="0.3">
      <c r="A110" s="85" t="s">
        <v>194</v>
      </c>
      <c r="B110" s="83">
        <v>4000</v>
      </c>
    </row>
    <row r="111" spans="1:2" x14ac:dyDescent="0.3">
      <c r="A111" s="85" t="s">
        <v>188</v>
      </c>
      <c r="B111" s="83">
        <v>3600</v>
      </c>
    </row>
    <row r="112" spans="1:2" x14ac:dyDescent="0.3">
      <c r="A112" s="85" t="s">
        <v>203</v>
      </c>
      <c r="B112" s="83">
        <v>750</v>
      </c>
    </row>
    <row r="113" spans="1:2" x14ac:dyDescent="0.3">
      <c r="A113" s="85" t="s">
        <v>225</v>
      </c>
      <c r="B113" s="83">
        <v>1620</v>
      </c>
    </row>
    <row r="114" spans="1:2" x14ac:dyDescent="0.3">
      <c r="A114" s="85" t="s">
        <v>201</v>
      </c>
      <c r="B114" s="83">
        <v>1600</v>
      </c>
    </row>
    <row r="115" spans="1:2" x14ac:dyDescent="0.3">
      <c r="A115" s="85" t="s">
        <v>202</v>
      </c>
      <c r="B115" s="83">
        <v>1200</v>
      </c>
    </row>
    <row r="116" spans="1:2" x14ac:dyDescent="0.3">
      <c r="A116" s="81" t="s">
        <v>270</v>
      </c>
      <c r="B116" s="83">
        <v>46921</v>
      </c>
    </row>
    <row r="117" spans="1:2" x14ac:dyDescent="0.3">
      <c r="A117" s="85" t="s">
        <v>205</v>
      </c>
      <c r="B117" s="83">
        <v>105</v>
      </c>
    </row>
    <row r="118" spans="1:2" x14ac:dyDescent="0.3">
      <c r="A118" s="85" t="s">
        <v>204</v>
      </c>
      <c r="B118" s="83">
        <v>80</v>
      </c>
    </row>
    <row r="119" spans="1:2" x14ac:dyDescent="0.3">
      <c r="A119" s="85" t="s">
        <v>206</v>
      </c>
      <c r="B119" s="83">
        <v>150</v>
      </c>
    </row>
    <row r="120" spans="1:2" x14ac:dyDescent="0.3">
      <c r="A120" s="85" t="s">
        <v>195</v>
      </c>
      <c r="B120" s="83">
        <v>180</v>
      </c>
    </row>
    <row r="121" spans="1:2" x14ac:dyDescent="0.3">
      <c r="A121" s="85" t="s">
        <v>197</v>
      </c>
      <c r="B121" s="83">
        <v>76</v>
      </c>
    </row>
    <row r="122" spans="1:2" x14ac:dyDescent="0.3">
      <c r="A122" s="85" t="s">
        <v>189</v>
      </c>
      <c r="B122" s="83">
        <v>320</v>
      </c>
    </row>
    <row r="123" spans="1:2" x14ac:dyDescent="0.3">
      <c r="A123" s="85" t="s">
        <v>191</v>
      </c>
      <c r="B123" s="83">
        <v>600</v>
      </c>
    </row>
    <row r="124" spans="1:2" x14ac:dyDescent="0.3">
      <c r="A124" s="85" t="s">
        <v>196</v>
      </c>
      <c r="B124" s="83">
        <v>630</v>
      </c>
    </row>
    <row r="125" spans="1:2" x14ac:dyDescent="0.3">
      <c r="A125" s="85" t="s">
        <v>190</v>
      </c>
      <c r="B125" s="83">
        <v>360</v>
      </c>
    </row>
    <row r="126" spans="1:2" x14ac:dyDescent="0.3">
      <c r="A126" s="85" t="s">
        <v>185</v>
      </c>
      <c r="B126" s="83">
        <v>14000</v>
      </c>
    </row>
    <row r="127" spans="1:2" x14ac:dyDescent="0.3">
      <c r="A127" s="85" t="s">
        <v>199</v>
      </c>
      <c r="B127" s="83">
        <v>1020</v>
      </c>
    </row>
    <row r="128" spans="1:2" x14ac:dyDescent="0.3">
      <c r="A128" s="85" t="s">
        <v>198</v>
      </c>
      <c r="B128" s="83">
        <v>6600</v>
      </c>
    </row>
    <row r="129" spans="1:2" x14ac:dyDescent="0.3">
      <c r="A129" s="85" t="s">
        <v>200</v>
      </c>
      <c r="B129" s="83">
        <v>800</v>
      </c>
    </row>
    <row r="130" spans="1:2" x14ac:dyDescent="0.3">
      <c r="A130" s="85" t="s">
        <v>192</v>
      </c>
      <c r="B130" s="83">
        <v>600</v>
      </c>
    </row>
    <row r="131" spans="1:2" x14ac:dyDescent="0.3">
      <c r="A131" s="85" t="s">
        <v>193</v>
      </c>
      <c r="B131" s="83">
        <v>1750</v>
      </c>
    </row>
    <row r="132" spans="1:2" x14ac:dyDescent="0.3">
      <c r="A132" s="85" t="s">
        <v>194</v>
      </c>
      <c r="B132" s="83">
        <v>2000</v>
      </c>
    </row>
    <row r="133" spans="1:2" x14ac:dyDescent="0.3">
      <c r="A133" s="85" t="s">
        <v>188</v>
      </c>
      <c r="B133" s="83">
        <v>8100</v>
      </c>
    </row>
    <row r="134" spans="1:2" x14ac:dyDescent="0.3">
      <c r="A134" s="85" t="s">
        <v>203</v>
      </c>
      <c r="B134" s="83">
        <v>750</v>
      </c>
    </row>
    <row r="135" spans="1:2" x14ac:dyDescent="0.3">
      <c r="A135" s="85" t="s">
        <v>201</v>
      </c>
      <c r="B135" s="83">
        <v>7200</v>
      </c>
    </row>
    <row r="136" spans="1:2" x14ac:dyDescent="0.3">
      <c r="A136" s="85" t="s">
        <v>202</v>
      </c>
      <c r="B136" s="83">
        <v>1600</v>
      </c>
    </row>
    <row r="137" spans="1:2" x14ac:dyDescent="0.3">
      <c r="A137" s="81" t="s">
        <v>272</v>
      </c>
      <c r="B137" s="83">
        <v>40888</v>
      </c>
    </row>
    <row r="138" spans="1:2" x14ac:dyDescent="0.3">
      <c r="A138" s="85" t="s">
        <v>205</v>
      </c>
      <c r="B138" s="83">
        <v>70</v>
      </c>
    </row>
    <row r="139" spans="1:2" x14ac:dyDescent="0.3">
      <c r="A139" s="85" t="s">
        <v>204</v>
      </c>
      <c r="B139" s="83">
        <v>200</v>
      </c>
    </row>
    <row r="140" spans="1:2" x14ac:dyDescent="0.3">
      <c r="A140" s="85" t="s">
        <v>206</v>
      </c>
      <c r="B140" s="83">
        <v>90</v>
      </c>
    </row>
    <row r="141" spans="1:2" x14ac:dyDescent="0.3">
      <c r="A141" s="85" t="s">
        <v>195</v>
      </c>
      <c r="B141" s="83">
        <v>360</v>
      </c>
    </row>
    <row r="142" spans="1:2" x14ac:dyDescent="0.3">
      <c r="A142" s="85" t="s">
        <v>197</v>
      </c>
      <c r="B142" s="83">
        <v>228</v>
      </c>
    </row>
    <row r="143" spans="1:2" x14ac:dyDescent="0.3">
      <c r="A143" s="85" t="s">
        <v>189</v>
      </c>
      <c r="B143" s="83">
        <v>560</v>
      </c>
    </row>
    <row r="144" spans="1:2" x14ac:dyDescent="0.3">
      <c r="A144" s="85" t="s">
        <v>191</v>
      </c>
      <c r="B144" s="83">
        <v>600</v>
      </c>
    </row>
    <row r="145" spans="1:2" x14ac:dyDescent="0.3">
      <c r="A145" s="85" t="s">
        <v>196</v>
      </c>
      <c r="B145" s="83">
        <v>630</v>
      </c>
    </row>
    <row r="146" spans="1:2" x14ac:dyDescent="0.3">
      <c r="A146" s="85" t="s">
        <v>190</v>
      </c>
      <c r="B146" s="83">
        <v>120</v>
      </c>
    </row>
    <row r="147" spans="1:2" x14ac:dyDescent="0.3">
      <c r="A147" s="85" t="s">
        <v>185</v>
      </c>
      <c r="B147" s="83">
        <v>14000</v>
      </c>
    </row>
    <row r="148" spans="1:2" x14ac:dyDescent="0.3">
      <c r="A148" s="85" t="s">
        <v>183</v>
      </c>
      <c r="B148" s="83">
        <v>6400</v>
      </c>
    </row>
    <row r="149" spans="1:2" x14ac:dyDescent="0.3">
      <c r="A149" s="85" t="s">
        <v>198</v>
      </c>
      <c r="B149" s="83">
        <v>600</v>
      </c>
    </row>
    <row r="150" spans="1:2" x14ac:dyDescent="0.3">
      <c r="A150" s="85" t="s">
        <v>200</v>
      </c>
      <c r="B150" s="83">
        <v>1200</v>
      </c>
    </row>
    <row r="151" spans="1:2" x14ac:dyDescent="0.3">
      <c r="A151" s="85" t="s">
        <v>192</v>
      </c>
      <c r="B151" s="83">
        <v>1500</v>
      </c>
    </row>
    <row r="152" spans="1:2" x14ac:dyDescent="0.3">
      <c r="A152" s="85" t="s">
        <v>193</v>
      </c>
      <c r="B152" s="83">
        <v>2100</v>
      </c>
    </row>
    <row r="153" spans="1:2" x14ac:dyDescent="0.3">
      <c r="A153" s="85" t="s">
        <v>194</v>
      </c>
      <c r="B153" s="83">
        <v>2500</v>
      </c>
    </row>
    <row r="154" spans="1:2" x14ac:dyDescent="0.3">
      <c r="A154" s="85" t="s">
        <v>188</v>
      </c>
      <c r="B154" s="83">
        <v>5400</v>
      </c>
    </row>
    <row r="155" spans="1:2" x14ac:dyDescent="0.3">
      <c r="A155" s="85" t="s">
        <v>203</v>
      </c>
      <c r="B155" s="83">
        <v>1250</v>
      </c>
    </row>
    <row r="156" spans="1:2" x14ac:dyDescent="0.3">
      <c r="A156" s="85" t="s">
        <v>225</v>
      </c>
      <c r="B156" s="83">
        <v>1080</v>
      </c>
    </row>
    <row r="157" spans="1:2" x14ac:dyDescent="0.3">
      <c r="A157" s="85" t="s">
        <v>201</v>
      </c>
      <c r="B157" s="83">
        <v>800</v>
      </c>
    </row>
    <row r="158" spans="1:2" x14ac:dyDescent="0.3">
      <c r="A158" s="85" t="s">
        <v>202</v>
      </c>
      <c r="B158" s="83">
        <v>1200</v>
      </c>
    </row>
    <row r="159" spans="1:2" x14ac:dyDescent="0.3">
      <c r="A159" s="81" t="s">
        <v>271</v>
      </c>
      <c r="B159" s="83">
        <v>40858</v>
      </c>
    </row>
    <row r="160" spans="1:2" x14ac:dyDescent="0.3">
      <c r="A160" s="85" t="s">
        <v>205</v>
      </c>
      <c r="B160" s="83">
        <v>420</v>
      </c>
    </row>
    <row r="161" spans="1:2" x14ac:dyDescent="0.3">
      <c r="A161" s="85" t="s">
        <v>204</v>
      </c>
      <c r="B161" s="83">
        <v>400</v>
      </c>
    </row>
    <row r="162" spans="1:2" x14ac:dyDescent="0.3">
      <c r="A162" s="85" t="s">
        <v>206</v>
      </c>
      <c r="B162" s="83">
        <v>120</v>
      </c>
    </row>
    <row r="163" spans="1:2" x14ac:dyDescent="0.3">
      <c r="A163" s="85" t="s">
        <v>195</v>
      </c>
      <c r="B163" s="83">
        <v>360</v>
      </c>
    </row>
    <row r="164" spans="1:2" x14ac:dyDescent="0.3">
      <c r="A164" s="85" t="s">
        <v>197</v>
      </c>
      <c r="B164" s="83">
        <v>988</v>
      </c>
    </row>
    <row r="165" spans="1:2" x14ac:dyDescent="0.3">
      <c r="A165" s="85" t="s">
        <v>189</v>
      </c>
      <c r="B165" s="83">
        <v>480</v>
      </c>
    </row>
    <row r="166" spans="1:2" x14ac:dyDescent="0.3">
      <c r="A166" s="85" t="s">
        <v>191</v>
      </c>
      <c r="B166" s="83">
        <v>600</v>
      </c>
    </row>
    <row r="167" spans="1:2" x14ac:dyDescent="0.3">
      <c r="A167" s="85" t="s">
        <v>196</v>
      </c>
      <c r="B167" s="83">
        <v>70</v>
      </c>
    </row>
    <row r="168" spans="1:2" x14ac:dyDescent="0.3">
      <c r="A168" s="85" t="s">
        <v>190</v>
      </c>
      <c r="B168" s="83">
        <v>240</v>
      </c>
    </row>
    <row r="169" spans="1:2" x14ac:dyDescent="0.3">
      <c r="A169" s="85" t="s">
        <v>183</v>
      </c>
      <c r="B169" s="83">
        <v>9600</v>
      </c>
    </row>
    <row r="170" spans="1:2" x14ac:dyDescent="0.3">
      <c r="A170" s="85" t="s">
        <v>199</v>
      </c>
      <c r="B170" s="83">
        <v>510</v>
      </c>
    </row>
    <row r="171" spans="1:2" x14ac:dyDescent="0.3">
      <c r="A171" s="85" t="s">
        <v>200</v>
      </c>
      <c r="B171" s="83">
        <v>2800</v>
      </c>
    </row>
    <row r="172" spans="1:2" x14ac:dyDescent="0.3">
      <c r="A172" s="85" t="s">
        <v>192</v>
      </c>
      <c r="B172" s="83">
        <v>1200</v>
      </c>
    </row>
    <row r="173" spans="1:2" x14ac:dyDescent="0.3">
      <c r="A173" s="85" t="s">
        <v>193</v>
      </c>
      <c r="B173" s="83">
        <v>2100</v>
      </c>
    </row>
    <row r="174" spans="1:2" x14ac:dyDescent="0.3">
      <c r="A174" s="85" t="s">
        <v>194</v>
      </c>
      <c r="B174" s="83">
        <v>5000</v>
      </c>
    </row>
    <row r="175" spans="1:2" x14ac:dyDescent="0.3">
      <c r="A175" s="85" t="s">
        <v>188</v>
      </c>
      <c r="B175" s="83">
        <v>3600</v>
      </c>
    </row>
    <row r="176" spans="1:2" x14ac:dyDescent="0.3">
      <c r="A176" s="85" t="s">
        <v>203</v>
      </c>
      <c r="B176" s="83">
        <v>2750</v>
      </c>
    </row>
    <row r="177" spans="1:2" x14ac:dyDescent="0.3">
      <c r="A177" s="85" t="s">
        <v>225</v>
      </c>
      <c r="B177" s="83">
        <v>1620</v>
      </c>
    </row>
    <row r="178" spans="1:2" x14ac:dyDescent="0.3">
      <c r="A178" s="85" t="s">
        <v>201</v>
      </c>
      <c r="B178" s="83">
        <v>7200</v>
      </c>
    </row>
    <row r="179" spans="1:2" x14ac:dyDescent="0.3">
      <c r="A179" s="85" t="s">
        <v>202</v>
      </c>
      <c r="B179" s="83">
        <v>800</v>
      </c>
    </row>
    <row r="180" spans="1:2" x14ac:dyDescent="0.3">
      <c r="A180" s="81" t="s">
        <v>269</v>
      </c>
      <c r="B180" s="83">
        <v>42241</v>
      </c>
    </row>
    <row r="181" spans="1:2" x14ac:dyDescent="0.3">
      <c r="A181" s="85" t="s">
        <v>205</v>
      </c>
      <c r="B181" s="83">
        <v>35</v>
      </c>
    </row>
    <row r="182" spans="1:2" x14ac:dyDescent="0.3">
      <c r="A182" s="85" t="s">
        <v>204</v>
      </c>
      <c r="B182" s="83">
        <v>200</v>
      </c>
    </row>
    <row r="183" spans="1:2" x14ac:dyDescent="0.3">
      <c r="A183" s="85" t="s">
        <v>206</v>
      </c>
      <c r="B183" s="83">
        <v>210</v>
      </c>
    </row>
    <row r="184" spans="1:2" x14ac:dyDescent="0.3">
      <c r="A184" s="85" t="s">
        <v>195</v>
      </c>
      <c r="B184" s="83">
        <v>480</v>
      </c>
    </row>
    <row r="185" spans="1:2" x14ac:dyDescent="0.3">
      <c r="A185" s="85" t="s">
        <v>197</v>
      </c>
      <c r="B185" s="83">
        <v>456</v>
      </c>
    </row>
    <row r="186" spans="1:2" x14ac:dyDescent="0.3">
      <c r="A186" s="85" t="s">
        <v>189</v>
      </c>
      <c r="B186" s="83">
        <v>480</v>
      </c>
    </row>
    <row r="187" spans="1:2" x14ac:dyDescent="0.3">
      <c r="A187" s="85" t="s">
        <v>191</v>
      </c>
      <c r="B187" s="83">
        <v>300</v>
      </c>
    </row>
    <row r="188" spans="1:2" x14ac:dyDescent="0.3">
      <c r="A188" s="85" t="s">
        <v>196</v>
      </c>
      <c r="B188" s="83">
        <v>700</v>
      </c>
    </row>
    <row r="189" spans="1:2" x14ac:dyDescent="0.3">
      <c r="A189" s="85" t="s">
        <v>190</v>
      </c>
      <c r="B189" s="83">
        <v>420</v>
      </c>
    </row>
    <row r="190" spans="1:2" x14ac:dyDescent="0.3">
      <c r="A190" s="85" t="s">
        <v>185</v>
      </c>
      <c r="B190" s="83">
        <v>2800</v>
      </c>
    </row>
    <row r="191" spans="1:2" x14ac:dyDescent="0.3">
      <c r="A191" s="85" t="s">
        <v>183</v>
      </c>
      <c r="B191" s="83">
        <v>1600</v>
      </c>
    </row>
    <row r="192" spans="1:2" x14ac:dyDescent="0.3">
      <c r="A192" s="85" t="s">
        <v>199</v>
      </c>
      <c r="B192" s="83">
        <v>1360</v>
      </c>
    </row>
    <row r="193" spans="1:2" x14ac:dyDescent="0.3">
      <c r="A193" s="85" t="s">
        <v>198</v>
      </c>
      <c r="B193" s="83">
        <v>3600</v>
      </c>
    </row>
    <row r="194" spans="1:2" x14ac:dyDescent="0.3">
      <c r="A194" s="85" t="s">
        <v>200</v>
      </c>
      <c r="B194" s="83">
        <v>1200</v>
      </c>
    </row>
    <row r="195" spans="1:2" x14ac:dyDescent="0.3">
      <c r="A195" s="85" t="s">
        <v>192</v>
      </c>
      <c r="B195" s="83">
        <v>3900</v>
      </c>
    </row>
    <row r="196" spans="1:2" x14ac:dyDescent="0.3">
      <c r="A196" s="85" t="s">
        <v>193</v>
      </c>
      <c r="B196" s="83">
        <v>2450</v>
      </c>
    </row>
    <row r="197" spans="1:2" x14ac:dyDescent="0.3">
      <c r="A197" s="85" t="s">
        <v>194</v>
      </c>
      <c r="B197" s="83">
        <v>2500</v>
      </c>
    </row>
    <row r="198" spans="1:2" x14ac:dyDescent="0.3">
      <c r="A198" s="85" t="s">
        <v>188</v>
      </c>
      <c r="B198" s="83">
        <v>6300</v>
      </c>
    </row>
    <row r="199" spans="1:2" x14ac:dyDescent="0.3">
      <c r="A199" s="85" t="s">
        <v>203</v>
      </c>
      <c r="B199" s="83">
        <v>1500</v>
      </c>
    </row>
    <row r="200" spans="1:2" x14ac:dyDescent="0.3">
      <c r="A200" s="85" t="s">
        <v>225</v>
      </c>
      <c r="B200" s="83">
        <v>1350</v>
      </c>
    </row>
    <row r="201" spans="1:2" x14ac:dyDescent="0.3">
      <c r="A201" s="85" t="s">
        <v>201</v>
      </c>
      <c r="B201" s="83">
        <v>2400</v>
      </c>
    </row>
    <row r="202" spans="1:2" x14ac:dyDescent="0.3">
      <c r="A202" s="85" t="s">
        <v>202</v>
      </c>
      <c r="B202" s="83">
        <v>8000</v>
      </c>
    </row>
    <row r="203" spans="1:2" x14ac:dyDescent="0.3">
      <c r="A203" s="80" t="s">
        <v>513</v>
      </c>
      <c r="B203" s="83">
        <v>386625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3:B199"/>
  <sheetViews>
    <sheetView workbookViewId="0"/>
  </sheetViews>
  <sheetFormatPr defaultColWidth="9.109375" defaultRowHeight="14.4" x14ac:dyDescent="0.3"/>
  <cols>
    <col min="1" max="1" width="40.109375" style="7" customWidth="1"/>
    <col min="2" max="2" width="21.109375" style="7" bestFit="1" customWidth="1"/>
    <col min="3" max="3" width="19.6640625" style="7" bestFit="1" customWidth="1"/>
    <col min="4" max="16384" width="9.109375" style="7"/>
  </cols>
  <sheetData>
    <row r="3" spans="1:2" ht="25.8" x14ac:dyDescent="0.5">
      <c r="A3" s="84" t="s">
        <v>522</v>
      </c>
    </row>
    <row r="6" spans="1:2" x14ac:dyDescent="0.3">
      <c r="A6" s="79" t="s">
        <v>512</v>
      </c>
      <c r="B6" s="83" t="s">
        <v>521</v>
      </c>
    </row>
    <row r="7" spans="1:2" x14ac:dyDescent="0.3">
      <c r="A7" s="80" t="s">
        <v>268</v>
      </c>
      <c r="B7" s="86">
        <v>90</v>
      </c>
    </row>
    <row r="8" spans="1:2" x14ac:dyDescent="0.3">
      <c r="A8" s="81" t="s">
        <v>205</v>
      </c>
      <c r="B8" s="86">
        <v>12</v>
      </c>
    </row>
    <row r="9" spans="1:2" x14ac:dyDescent="0.3">
      <c r="A9" s="81" t="s">
        <v>204</v>
      </c>
      <c r="B9" s="86">
        <v>6</v>
      </c>
    </row>
    <row r="10" spans="1:2" x14ac:dyDescent="0.3">
      <c r="A10" s="81" t="s">
        <v>206</v>
      </c>
      <c r="B10" s="86">
        <v>7</v>
      </c>
    </row>
    <row r="11" spans="1:2" x14ac:dyDescent="0.3">
      <c r="A11" s="81" t="s">
        <v>195</v>
      </c>
      <c r="B11" s="86">
        <v>5</v>
      </c>
    </row>
    <row r="12" spans="1:2" x14ac:dyDescent="0.3">
      <c r="A12" s="81" t="s">
        <v>197</v>
      </c>
      <c r="B12" s="86">
        <v>4</v>
      </c>
    </row>
    <row r="13" spans="1:2" x14ac:dyDescent="0.3">
      <c r="A13" s="81" t="s">
        <v>189</v>
      </c>
      <c r="B13" s="86">
        <v>2</v>
      </c>
    </row>
    <row r="14" spans="1:2" x14ac:dyDescent="0.3">
      <c r="A14" s="81" t="s">
        <v>191</v>
      </c>
      <c r="B14" s="86">
        <v>2</v>
      </c>
    </row>
    <row r="15" spans="1:2" x14ac:dyDescent="0.3">
      <c r="A15" s="81" t="s">
        <v>190</v>
      </c>
      <c r="B15" s="86">
        <v>1</v>
      </c>
    </row>
    <row r="16" spans="1:2" x14ac:dyDescent="0.3">
      <c r="A16" s="81" t="s">
        <v>185</v>
      </c>
      <c r="B16" s="86">
        <v>3</v>
      </c>
    </row>
    <row r="17" spans="1:2" x14ac:dyDescent="0.3">
      <c r="A17" s="81" t="s">
        <v>199</v>
      </c>
      <c r="B17" s="86">
        <v>1</v>
      </c>
    </row>
    <row r="18" spans="1:2" x14ac:dyDescent="0.3">
      <c r="A18" s="81" t="s">
        <v>198</v>
      </c>
      <c r="B18" s="86">
        <v>2</v>
      </c>
    </row>
    <row r="19" spans="1:2" x14ac:dyDescent="0.3">
      <c r="A19" s="81" t="s">
        <v>200</v>
      </c>
      <c r="B19" s="86">
        <v>7</v>
      </c>
    </row>
    <row r="20" spans="1:2" x14ac:dyDescent="0.3">
      <c r="A20" s="81" t="s">
        <v>192</v>
      </c>
      <c r="B20" s="86">
        <v>6</v>
      </c>
    </row>
    <row r="21" spans="1:2" x14ac:dyDescent="0.3">
      <c r="A21" s="81" t="s">
        <v>193</v>
      </c>
      <c r="B21" s="86">
        <v>6</v>
      </c>
    </row>
    <row r="22" spans="1:2" x14ac:dyDescent="0.3">
      <c r="A22" s="81" t="s">
        <v>194</v>
      </c>
      <c r="B22" s="86">
        <v>8</v>
      </c>
    </row>
    <row r="23" spans="1:2" x14ac:dyDescent="0.3">
      <c r="A23" s="81" t="s">
        <v>188</v>
      </c>
      <c r="B23" s="86">
        <v>4</v>
      </c>
    </row>
    <row r="24" spans="1:2" x14ac:dyDescent="0.3">
      <c r="A24" s="81" t="s">
        <v>203</v>
      </c>
      <c r="B24" s="86">
        <v>3</v>
      </c>
    </row>
    <row r="25" spans="1:2" x14ac:dyDescent="0.3">
      <c r="A25" s="81" t="s">
        <v>225</v>
      </c>
      <c r="B25" s="86">
        <v>6</v>
      </c>
    </row>
    <row r="26" spans="1:2" x14ac:dyDescent="0.3">
      <c r="A26" s="81" t="s">
        <v>201</v>
      </c>
      <c r="B26" s="86">
        <v>2</v>
      </c>
    </row>
    <row r="27" spans="1:2" x14ac:dyDescent="0.3">
      <c r="A27" s="81" t="s">
        <v>202</v>
      </c>
      <c r="B27" s="86">
        <v>3</v>
      </c>
    </row>
    <row r="28" spans="1:2" x14ac:dyDescent="0.3">
      <c r="A28" s="80" t="s">
        <v>250</v>
      </c>
      <c r="B28" s="86">
        <v>118</v>
      </c>
    </row>
    <row r="29" spans="1:2" x14ac:dyDescent="0.3">
      <c r="A29" s="81" t="s">
        <v>205</v>
      </c>
      <c r="B29" s="86">
        <v>4</v>
      </c>
    </row>
    <row r="30" spans="1:2" x14ac:dyDescent="0.3">
      <c r="A30" s="81" t="s">
        <v>204</v>
      </c>
      <c r="B30" s="86">
        <v>3</v>
      </c>
    </row>
    <row r="31" spans="1:2" x14ac:dyDescent="0.3">
      <c r="A31" s="81" t="s">
        <v>206</v>
      </c>
      <c r="B31" s="86">
        <v>14</v>
      </c>
    </row>
    <row r="32" spans="1:2" x14ac:dyDescent="0.3">
      <c r="A32" s="81" t="s">
        <v>195</v>
      </c>
      <c r="B32" s="86">
        <v>9</v>
      </c>
    </row>
    <row r="33" spans="1:2" x14ac:dyDescent="0.3">
      <c r="A33" s="81" t="s">
        <v>189</v>
      </c>
      <c r="B33" s="86">
        <v>1</v>
      </c>
    </row>
    <row r="34" spans="1:2" x14ac:dyDescent="0.3">
      <c r="A34" s="81" t="s">
        <v>191</v>
      </c>
      <c r="B34" s="86">
        <v>4</v>
      </c>
    </row>
    <row r="35" spans="1:2" x14ac:dyDescent="0.3">
      <c r="A35" s="81" t="s">
        <v>196</v>
      </c>
      <c r="B35" s="86">
        <v>5</v>
      </c>
    </row>
    <row r="36" spans="1:2" x14ac:dyDescent="0.3">
      <c r="A36" s="81" t="s">
        <v>190</v>
      </c>
      <c r="B36" s="86">
        <v>6</v>
      </c>
    </row>
    <row r="37" spans="1:2" x14ac:dyDescent="0.3">
      <c r="A37" s="81" t="s">
        <v>185</v>
      </c>
      <c r="B37" s="86">
        <v>5</v>
      </c>
    </row>
    <row r="38" spans="1:2" x14ac:dyDescent="0.3">
      <c r="A38" s="81" t="s">
        <v>183</v>
      </c>
      <c r="B38" s="86">
        <v>4</v>
      </c>
    </row>
    <row r="39" spans="1:2" x14ac:dyDescent="0.3">
      <c r="A39" s="81" t="s">
        <v>199</v>
      </c>
      <c r="B39" s="86">
        <v>7</v>
      </c>
    </row>
    <row r="40" spans="1:2" x14ac:dyDescent="0.3">
      <c r="A40" s="81" t="s">
        <v>198</v>
      </c>
      <c r="B40" s="86">
        <v>10</v>
      </c>
    </row>
    <row r="41" spans="1:2" x14ac:dyDescent="0.3">
      <c r="A41" s="81" t="s">
        <v>200</v>
      </c>
      <c r="B41" s="86">
        <v>11</v>
      </c>
    </row>
    <row r="42" spans="1:2" x14ac:dyDescent="0.3">
      <c r="A42" s="81" t="s">
        <v>192</v>
      </c>
      <c r="B42" s="86">
        <v>1</v>
      </c>
    </row>
    <row r="43" spans="1:2" x14ac:dyDescent="0.3">
      <c r="A43" s="81" t="s">
        <v>193</v>
      </c>
      <c r="B43" s="86">
        <v>4</v>
      </c>
    </row>
    <row r="44" spans="1:2" x14ac:dyDescent="0.3">
      <c r="A44" s="81" t="s">
        <v>194</v>
      </c>
      <c r="B44" s="86">
        <v>4</v>
      </c>
    </row>
    <row r="45" spans="1:2" x14ac:dyDescent="0.3">
      <c r="A45" s="81" t="s">
        <v>188</v>
      </c>
      <c r="B45" s="86">
        <v>5</v>
      </c>
    </row>
    <row r="46" spans="1:2" x14ac:dyDescent="0.3">
      <c r="A46" s="81" t="s">
        <v>203</v>
      </c>
      <c r="B46" s="86">
        <v>4</v>
      </c>
    </row>
    <row r="47" spans="1:2" x14ac:dyDescent="0.3">
      <c r="A47" s="81" t="s">
        <v>225</v>
      </c>
      <c r="B47" s="86">
        <v>4</v>
      </c>
    </row>
    <row r="48" spans="1:2" x14ac:dyDescent="0.3">
      <c r="A48" s="81" t="s">
        <v>201</v>
      </c>
      <c r="B48" s="86">
        <v>10</v>
      </c>
    </row>
    <row r="49" spans="1:2" x14ac:dyDescent="0.3">
      <c r="A49" s="81" t="s">
        <v>202</v>
      </c>
      <c r="B49" s="86">
        <v>3</v>
      </c>
    </row>
    <row r="50" spans="1:2" x14ac:dyDescent="0.3">
      <c r="A50" s="80" t="s">
        <v>26</v>
      </c>
      <c r="B50" s="86">
        <v>115</v>
      </c>
    </row>
    <row r="51" spans="1:2" x14ac:dyDescent="0.3">
      <c r="A51" s="81" t="s">
        <v>205</v>
      </c>
      <c r="B51" s="86">
        <v>7</v>
      </c>
    </row>
    <row r="52" spans="1:2" x14ac:dyDescent="0.3">
      <c r="A52" s="81" t="s">
        <v>204</v>
      </c>
      <c r="B52" s="86">
        <v>12</v>
      </c>
    </row>
    <row r="53" spans="1:2" x14ac:dyDescent="0.3">
      <c r="A53" s="81" t="s">
        <v>195</v>
      </c>
      <c r="B53" s="86">
        <v>1</v>
      </c>
    </row>
    <row r="54" spans="1:2" x14ac:dyDescent="0.3">
      <c r="A54" s="81" t="s">
        <v>197</v>
      </c>
      <c r="B54" s="86">
        <v>6</v>
      </c>
    </row>
    <row r="55" spans="1:2" x14ac:dyDescent="0.3">
      <c r="A55" s="81" t="s">
        <v>189</v>
      </c>
      <c r="B55" s="86">
        <v>2</v>
      </c>
    </row>
    <row r="56" spans="1:2" x14ac:dyDescent="0.3">
      <c r="A56" s="81" t="s">
        <v>191</v>
      </c>
      <c r="B56" s="86">
        <v>6</v>
      </c>
    </row>
    <row r="57" spans="1:2" x14ac:dyDescent="0.3">
      <c r="A57" s="81" t="s">
        <v>196</v>
      </c>
      <c r="B57" s="86">
        <v>1</v>
      </c>
    </row>
    <row r="58" spans="1:2" x14ac:dyDescent="0.3">
      <c r="A58" s="81" t="s">
        <v>190</v>
      </c>
      <c r="B58" s="86">
        <v>10</v>
      </c>
    </row>
    <row r="59" spans="1:2" x14ac:dyDescent="0.3">
      <c r="A59" s="81" t="s">
        <v>185</v>
      </c>
      <c r="B59" s="86">
        <v>3</v>
      </c>
    </row>
    <row r="60" spans="1:2" x14ac:dyDescent="0.3">
      <c r="A60" s="81" t="s">
        <v>199</v>
      </c>
      <c r="B60" s="86">
        <v>6</v>
      </c>
    </row>
    <row r="61" spans="1:2" x14ac:dyDescent="0.3">
      <c r="A61" s="81" t="s">
        <v>198</v>
      </c>
      <c r="B61" s="86">
        <v>7</v>
      </c>
    </row>
    <row r="62" spans="1:2" x14ac:dyDescent="0.3">
      <c r="A62" s="81" t="s">
        <v>200</v>
      </c>
      <c r="B62" s="86">
        <v>10</v>
      </c>
    </row>
    <row r="63" spans="1:2" x14ac:dyDescent="0.3">
      <c r="A63" s="81" t="s">
        <v>192</v>
      </c>
      <c r="B63" s="86">
        <v>6</v>
      </c>
    </row>
    <row r="64" spans="1:2" x14ac:dyDescent="0.3">
      <c r="A64" s="81" t="s">
        <v>193</v>
      </c>
      <c r="B64" s="86">
        <v>3</v>
      </c>
    </row>
    <row r="65" spans="1:2" x14ac:dyDescent="0.3">
      <c r="A65" s="81" t="s">
        <v>188</v>
      </c>
      <c r="B65" s="86">
        <v>11</v>
      </c>
    </row>
    <row r="66" spans="1:2" x14ac:dyDescent="0.3">
      <c r="A66" s="81" t="s">
        <v>203</v>
      </c>
      <c r="B66" s="86">
        <v>5</v>
      </c>
    </row>
    <row r="67" spans="1:2" x14ac:dyDescent="0.3">
      <c r="A67" s="81" t="s">
        <v>225</v>
      </c>
      <c r="B67" s="86">
        <v>5</v>
      </c>
    </row>
    <row r="68" spans="1:2" x14ac:dyDescent="0.3">
      <c r="A68" s="81" t="s">
        <v>201</v>
      </c>
      <c r="B68" s="86">
        <v>8</v>
      </c>
    </row>
    <row r="69" spans="1:2" x14ac:dyDescent="0.3">
      <c r="A69" s="81" t="s">
        <v>202</v>
      </c>
      <c r="B69" s="86">
        <v>6</v>
      </c>
    </row>
    <row r="70" spans="1:2" x14ac:dyDescent="0.3">
      <c r="A70" s="80" t="s">
        <v>270</v>
      </c>
      <c r="B70" s="86">
        <v>99</v>
      </c>
    </row>
    <row r="71" spans="1:2" x14ac:dyDescent="0.3">
      <c r="A71" s="81" t="s">
        <v>205</v>
      </c>
      <c r="B71" s="86">
        <v>3</v>
      </c>
    </row>
    <row r="72" spans="1:2" x14ac:dyDescent="0.3">
      <c r="A72" s="81" t="s">
        <v>204</v>
      </c>
      <c r="B72" s="86">
        <v>2</v>
      </c>
    </row>
    <row r="73" spans="1:2" x14ac:dyDescent="0.3">
      <c r="A73" s="81" t="s">
        <v>206</v>
      </c>
      <c r="B73" s="86">
        <v>5</v>
      </c>
    </row>
    <row r="74" spans="1:2" x14ac:dyDescent="0.3">
      <c r="A74" s="81" t="s">
        <v>195</v>
      </c>
      <c r="B74" s="86">
        <v>3</v>
      </c>
    </row>
    <row r="75" spans="1:2" x14ac:dyDescent="0.3">
      <c r="A75" s="81" t="s">
        <v>197</v>
      </c>
      <c r="B75" s="86">
        <v>1</v>
      </c>
    </row>
    <row r="76" spans="1:2" x14ac:dyDescent="0.3">
      <c r="A76" s="81" t="s">
        <v>189</v>
      </c>
      <c r="B76" s="86">
        <v>4</v>
      </c>
    </row>
    <row r="77" spans="1:2" x14ac:dyDescent="0.3">
      <c r="A77" s="81" t="s">
        <v>191</v>
      </c>
      <c r="B77" s="86">
        <v>6</v>
      </c>
    </row>
    <row r="78" spans="1:2" x14ac:dyDescent="0.3">
      <c r="A78" s="81" t="s">
        <v>196</v>
      </c>
      <c r="B78" s="86">
        <v>9</v>
      </c>
    </row>
    <row r="79" spans="1:2" x14ac:dyDescent="0.3">
      <c r="A79" s="81" t="s">
        <v>190</v>
      </c>
      <c r="B79" s="86">
        <v>6</v>
      </c>
    </row>
    <row r="80" spans="1:2" x14ac:dyDescent="0.3">
      <c r="A80" s="81" t="s">
        <v>185</v>
      </c>
      <c r="B80" s="86">
        <v>5</v>
      </c>
    </row>
    <row r="81" spans="1:2" x14ac:dyDescent="0.3">
      <c r="A81" s="81" t="s">
        <v>199</v>
      </c>
      <c r="B81" s="86">
        <v>6</v>
      </c>
    </row>
    <row r="82" spans="1:2" x14ac:dyDescent="0.3">
      <c r="A82" s="81" t="s">
        <v>198</v>
      </c>
      <c r="B82" s="86">
        <v>11</v>
      </c>
    </row>
    <row r="83" spans="1:2" x14ac:dyDescent="0.3">
      <c r="A83" s="81" t="s">
        <v>200</v>
      </c>
      <c r="B83" s="86">
        <v>2</v>
      </c>
    </row>
    <row r="84" spans="1:2" x14ac:dyDescent="0.3">
      <c r="A84" s="81" t="s">
        <v>192</v>
      </c>
      <c r="B84" s="86">
        <v>2</v>
      </c>
    </row>
    <row r="85" spans="1:2" x14ac:dyDescent="0.3">
      <c r="A85" s="81" t="s">
        <v>193</v>
      </c>
      <c r="B85" s="86">
        <v>5</v>
      </c>
    </row>
    <row r="86" spans="1:2" x14ac:dyDescent="0.3">
      <c r="A86" s="81" t="s">
        <v>194</v>
      </c>
      <c r="B86" s="86">
        <v>4</v>
      </c>
    </row>
    <row r="87" spans="1:2" x14ac:dyDescent="0.3">
      <c r="A87" s="81" t="s">
        <v>188</v>
      </c>
      <c r="B87" s="86">
        <v>9</v>
      </c>
    </row>
    <row r="88" spans="1:2" x14ac:dyDescent="0.3">
      <c r="A88" s="81" t="s">
        <v>203</v>
      </c>
      <c r="B88" s="86">
        <v>3</v>
      </c>
    </row>
    <row r="89" spans="1:2" x14ac:dyDescent="0.3">
      <c r="A89" s="81" t="s">
        <v>201</v>
      </c>
      <c r="B89" s="86">
        <v>9</v>
      </c>
    </row>
    <row r="90" spans="1:2" x14ac:dyDescent="0.3">
      <c r="A90" s="81" t="s">
        <v>202</v>
      </c>
      <c r="B90" s="86">
        <v>4</v>
      </c>
    </row>
    <row r="91" spans="1:2" x14ac:dyDescent="0.3">
      <c r="A91" s="80" t="s">
        <v>272</v>
      </c>
      <c r="B91" s="86">
        <v>91</v>
      </c>
    </row>
    <row r="92" spans="1:2" x14ac:dyDescent="0.3">
      <c r="A92" s="81" t="s">
        <v>205</v>
      </c>
      <c r="B92" s="86">
        <v>2</v>
      </c>
    </row>
    <row r="93" spans="1:2" x14ac:dyDescent="0.3">
      <c r="A93" s="81" t="s">
        <v>204</v>
      </c>
      <c r="B93" s="86">
        <v>5</v>
      </c>
    </row>
    <row r="94" spans="1:2" x14ac:dyDescent="0.3">
      <c r="A94" s="81" t="s">
        <v>206</v>
      </c>
      <c r="B94" s="86">
        <v>3</v>
      </c>
    </row>
    <row r="95" spans="1:2" x14ac:dyDescent="0.3">
      <c r="A95" s="81" t="s">
        <v>195</v>
      </c>
      <c r="B95" s="86">
        <v>6</v>
      </c>
    </row>
    <row r="96" spans="1:2" x14ac:dyDescent="0.3">
      <c r="A96" s="81" t="s">
        <v>197</v>
      </c>
      <c r="B96" s="86">
        <v>3</v>
      </c>
    </row>
    <row r="97" spans="1:2" x14ac:dyDescent="0.3">
      <c r="A97" s="81" t="s">
        <v>189</v>
      </c>
      <c r="B97" s="86">
        <v>7</v>
      </c>
    </row>
    <row r="98" spans="1:2" x14ac:dyDescent="0.3">
      <c r="A98" s="81" t="s">
        <v>191</v>
      </c>
      <c r="B98" s="86">
        <v>6</v>
      </c>
    </row>
    <row r="99" spans="1:2" x14ac:dyDescent="0.3">
      <c r="A99" s="81" t="s">
        <v>196</v>
      </c>
      <c r="B99" s="86">
        <v>9</v>
      </c>
    </row>
    <row r="100" spans="1:2" x14ac:dyDescent="0.3">
      <c r="A100" s="81" t="s">
        <v>190</v>
      </c>
      <c r="B100" s="86">
        <v>2</v>
      </c>
    </row>
    <row r="101" spans="1:2" x14ac:dyDescent="0.3">
      <c r="A101" s="81" t="s">
        <v>185</v>
      </c>
      <c r="B101" s="86">
        <v>5</v>
      </c>
    </row>
    <row r="102" spans="1:2" x14ac:dyDescent="0.3">
      <c r="A102" s="81" t="s">
        <v>183</v>
      </c>
      <c r="B102" s="86">
        <v>4</v>
      </c>
    </row>
    <row r="103" spans="1:2" x14ac:dyDescent="0.3">
      <c r="A103" s="81" t="s">
        <v>198</v>
      </c>
      <c r="B103" s="86">
        <v>1</v>
      </c>
    </row>
    <row r="104" spans="1:2" x14ac:dyDescent="0.3">
      <c r="A104" s="81" t="s">
        <v>200</v>
      </c>
      <c r="B104" s="86">
        <v>3</v>
      </c>
    </row>
    <row r="105" spans="1:2" x14ac:dyDescent="0.3">
      <c r="A105" s="81" t="s">
        <v>192</v>
      </c>
      <c r="B105" s="86">
        <v>5</v>
      </c>
    </row>
    <row r="106" spans="1:2" x14ac:dyDescent="0.3">
      <c r="A106" s="81" t="s">
        <v>193</v>
      </c>
      <c r="B106" s="86">
        <v>6</v>
      </c>
    </row>
    <row r="107" spans="1:2" x14ac:dyDescent="0.3">
      <c r="A107" s="81" t="s">
        <v>194</v>
      </c>
      <c r="B107" s="86">
        <v>5</v>
      </c>
    </row>
    <row r="108" spans="1:2" x14ac:dyDescent="0.3">
      <c r="A108" s="81" t="s">
        <v>188</v>
      </c>
      <c r="B108" s="86">
        <v>6</v>
      </c>
    </row>
    <row r="109" spans="1:2" x14ac:dyDescent="0.3">
      <c r="A109" s="81" t="s">
        <v>203</v>
      </c>
      <c r="B109" s="86">
        <v>5</v>
      </c>
    </row>
    <row r="110" spans="1:2" x14ac:dyDescent="0.3">
      <c r="A110" s="81" t="s">
        <v>225</v>
      </c>
      <c r="B110" s="86">
        <v>4</v>
      </c>
    </row>
    <row r="111" spans="1:2" x14ac:dyDescent="0.3">
      <c r="A111" s="81" t="s">
        <v>201</v>
      </c>
      <c r="B111" s="86">
        <v>1</v>
      </c>
    </row>
    <row r="112" spans="1:2" x14ac:dyDescent="0.3">
      <c r="A112" s="81" t="s">
        <v>202</v>
      </c>
      <c r="B112" s="86">
        <v>3</v>
      </c>
    </row>
    <row r="113" spans="1:2" x14ac:dyDescent="0.3">
      <c r="A113" s="80" t="s">
        <v>271</v>
      </c>
      <c r="B113" s="86">
        <v>130</v>
      </c>
    </row>
    <row r="114" spans="1:2" x14ac:dyDescent="0.3">
      <c r="A114" s="81" t="s">
        <v>205</v>
      </c>
      <c r="B114" s="86">
        <v>12</v>
      </c>
    </row>
    <row r="115" spans="1:2" x14ac:dyDescent="0.3">
      <c r="A115" s="81" t="s">
        <v>204</v>
      </c>
      <c r="B115" s="86">
        <v>10</v>
      </c>
    </row>
    <row r="116" spans="1:2" x14ac:dyDescent="0.3">
      <c r="A116" s="81" t="s">
        <v>206</v>
      </c>
      <c r="B116" s="86">
        <v>4</v>
      </c>
    </row>
    <row r="117" spans="1:2" x14ac:dyDescent="0.3">
      <c r="A117" s="81" t="s">
        <v>195</v>
      </c>
      <c r="B117" s="86">
        <v>6</v>
      </c>
    </row>
    <row r="118" spans="1:2" x14ac:dyDescent="0.3">
      <c r="A118" s="81" t="s">
        <v>197</v>
      </c>
      <c r="B118" s="86">
        <v>13</v>
      </c>
    </row>
    <row r="119" spans="1:2" x14ac:dyDescent="0.3">
      <c r="A119" s="81" t="s">
        <v>189</v>
      </c>
      <c r="B119" s="86">
        <v>6</v>
      </c>
    </row>
    <row r="120" spans="1:2" x14ac:dyDescent="0.3">
      <c r="A120" s="81" t="s">
        <v>191</v>
      </c>
      <c r="B120" s="86">
        <v>6</v>
      </c>
    </row>
    <row r="121" spans="1:2" x14ac:dyDescent="0.3">
      <c r="A121" s="81" t="s">
        <v>196</v>
      </c>
      <c r="B121" s="86">
        <v>1</v>
      </c>
    </row>
    <row r="122" spans="1:2" x14ac:dyDescent="0.3">
      <c r="A122" s="81" t="s">
        <v>190</v>
      </c>
      <c r="B122" s="86">
        <v>4</v>
      </c>
    </row>
    <row r="123" spans="1:2" x14ac:dyDescent="0.3">
      <c r="A123" s="81" t="s">
        <v>183</v>
      </c>
      <c r="B123" s="86">
        <v>6</v>
      </c>
    </row>
    <row r="124" spans="1:2" x14ac:dyDescent="0.3">
      <c r="A124" s="81" t="s">
        <v>199</v>
      </c>
      <c r="B124" s="86">
        <v>3</v>
      </c>
    </row>
    <row r="125" spans="1:2" x14ac:dyDescent="0.3">
      <c r="A125" s="81" t="s">
        <v>200</v>
      </c>
      <c r="B125" s="86">
        <v>7</v>
      </c>
    </row>
    <row r="126" spans="1:2" x14ac:dyDescent="0.3">
      <c r="A126" s="81" t="s">
        <v>192</v>
      </c>
      <c r="B126" s="86">
        <v>4</v>
      </c>
    </row>
    <row r="127" spans="1:2" x14ac:dyDescent="0.3">
      <c r="A127" s="81" t="s">
        <v>193</v>
      </c>
      <c r="B127" s="86">
        <v>6</v>
      </c>
    </row>
    <row r="128" spans="1:2" x14ac:dyDescent="0.3">
      <c r="A128" s="81" t="s">
        <v>194</v>
      </c>
      <c r="B128" s="86">
        <v>10</v>
      </c>
    </row>
    <row r="129" spans="1:2" x14ac:dyDescent="0.3">
      <c r="A129" s="81" t="s">
        <v>188</v>
      </c>
      <c r="B129" s="86">
        <v>4</v>
      </c>
    </row>
    <row r="130" spans="1:2" x14ac:dyDescent="0.3">
      <c r="A130" s="81" t="s">
        <v>203</v>
      </c>
      <c r="B130" s="86">
        <v>11</v>
      </c>
    </row>
    <row r="131" spans="1:2" x14ac:dyDescent="0.3">
      <c r="A131" s="81" t="s">
        <v>225</v>
      </c>
      <c r="B131" s="86">
        <v>6</v>
      </c>
    </row>
    <row r="132" spans="1:2" x14ac:dyDescent="0.3">
      <c r="A132" s="81" t="s">
        <v>201</v>
      </c>
      <c r="B132" s="86">
        <v>9</v>
      </c>
    </row>
    <row r="133" spans="1:2" x14ac:dyDescent="0.3">
      <c r="A133" s="81" t="s">
        <v>202</v>
      </c>
      <c r="B133" s="86">
        <v>2</v>
      </c>
    </row>
    <row r="134" spans="1:2" x14ac:dyDescent="0.3">
      <c r="A134" s="80" t="s">
        <v>269</v>
      </c>
      <c r="B134" s="86">
        <v>138</v>
      </c>
    </row>
    <row r="135" spans="1:2" x14ac:dyDescent="0.3">
      <c r="A135" s="81" t="s">
        <v>205</v>
      </c>
      <c r="B135" s="86">
        <v>1</v>
      </c>
    </row>
    <row r="136" spans="1:2" x14ac:dyDescent="0.3">
      <c r="A136" s="81" t="s">
        <v>204</v>
      </c>
      <c r="B136" s="86">
        <v>5</v>
      </c>
    </row>
    <row r="137" spans="1:2" x14ac:dyDescent="0.3">
      <c r="A137" s="81" t="s">
        <v>206</v>
      </c>
      <c r="B137" s="86">
        <v>7</v>
      </c>
    </row>
    <row r="138" spans="1:2" x14ac:dyDescent="0.3">
      <c r="A138" s="81" t="s">
        <v>195</v>
      </c>
      <c r="B138" s="86">
        <v>8</v>
      </c>
    </row>
    <row r="139" spans="1:2" x14ac:dyDescent="0.3">
      <c r="A139" s="81" t="s">
        <v>197</v>
      </c>
      <c r="B139" s="86">
        <v>6</v>
      </c>
    </row>
    <row r="140" spans="1:2" x14ac:dyDescent="0.3">
      <c r="A140" s="81" t="s">
        <v>189</v>
      </c>
      <c r="B140" s="86">
        <v>6</v>
      </c>
    </row>
    <row r="141" spans="1:2" x14ac:dyDescent="0.3">
      <c r="A141" s="81" t="s">
        <v>191</v>
      </c>
      <c r="B141" s="86">
        <v>3</v>
      </c>
    </row>
    <row r="142" spans="1:2" x14ac:dyDescent="0.3">
      <c r="A142" s="81" t="s">
        <v>196</v>
      </c>
      <c r="B142" s="86">
        <v>10</v>
      </c>
    </row>
    <row r="143" spans="1:2" x14ac:dyDescent="0.3">
      <c r="A143" s="81" t="s">
        <v>190</v>
      </c>
      <c r="B143" s="86">
        <v>7</v>
      </c>
    </row>
    <row r="144" spans="1:2" x14ac:dyDescent="0.3">
      <c r="A144" s="81" t="s">
        <v>185</v>
      </c>
      <c r="B144" s="86">
        <v>1</v>
      </c>
    </row>
    <row r="145" spans="1:2" x14ac:dyDescent="0.3">
      <c r="A145" s="81" t="s">
        <v>183</v>
      </c>
      <c r="B145" s="86">
        <v>1</v>
      </c>
    </row>
    <row r="146" spans="1:2" x14ac:dyDescent="0.3">
      <c r="A146" s="81" t="s">
        <v>199</v>
      </c>
      <c r="B146" s="86">
        <v>8</v>
      </c>
    </row>
    <row r="147" spans="1:2" x14ac:dyDescent="0.3">
      <c r="A147" s="81" t="s">
        <v>198</v>
      </c>
      <c r="B147" s="86">
        <v>6</v>
      </c>
    </row>
    <row r="148" spans="1:2" x14ac:dyDescent="0.3">
      <c r="A148" s="81" t="s">
        <v>200</v>
      </c>
      <c r="B148" s="86">
        <v>3</v>
      </c>
    </row>
    <row r="149" spans="1:2" x14ac:dyDescent="0.3">
      <c r="A149" s="81" t="s">
        <v>192</v>
      </c>
      <c r="B149" s="86">
        <v>13</v>
      </c>
    </row>
    <row r="150" spans="1:2" x14ac:dyDescent="0.3">
      <c r="A150" s="81" t="s">
        <v>193</v>
      </c>
      <c r="B150" s="86">
        <v>7</v>
      </c>
    </row>
    <row r="151" spans="1:2" x14ac:dyDescent="0.3">
      <c r="A151" s="81" t="s">
        <v>194</v>
      </c>
      <c r="B151" s="86">
        <v>5</v>
      </c>
    </row>
    <row r="152" spans="1:2" x14ac:dyDescent="0.3">
      <c r="A152" s="81" t="s">
        <v>188</v>
      </c>
      <c r="B152" s="86">
        <v>7</v>
      </c>
    </row>
    <row r="153" spans="1:2" x14ac:dyDescent="0.3">
      <c r="A153" s="81" t="s">
        <v>203</v>
      </c>
      <c r="B153" s="86">
        <v>6</v>
      </c>
    </row>
    <row r="154" spans="1:2" x14ac:dyDescent="0.3">
      <c r="A154" s="81" t="s">
        <v>225</v>
      </c>
      <c r="B154" s="86">
        <v>5</v>
      </c>
    </row>
    <row r="155" spans="1:2" x14ac:dyDescent="0.3">
      <c r="A155" s="81" t="s">
        <v>201</v>
      </c>
      <c r="B155" s="86">
        <v>3</v>
      </c>
    </row>
    <row r="156" spans="1:2" x14ac:dyDescent="0.3">
      <c r="A156" s="81" t="s">
        <v>202</v>
      </c>
      <c r="B156" s="86">
        <v>20</v>
      </c>
    </row>
    <row r="157" spans="1:2" x14ac:dyDescent="0.3">
      <c r="A157" s="80" t="s">
        <v>381</v>
      </c>
      <c r="B157" s="86">
        <v>126</v>
      </c>
    </row>
    <row r="158" spans="1:2" x14ac:dyDescent="0.3">
      <c r="A158" s="81" t="s">
        <v>205</v>
      </c>
      <c r="B158" s="86">
        <v>6</v>
      </c>
    </row>
    <row r="159" spans="1:2" x14ac:dyDescent="0.3">
      <c r="A159" s="81" t="s">
        <v>204</v>
      </c>
      <c r="B159" s="86">
        <v>10</v>
      </c>
    </row>
    <row r="160" spans="1:2" x14ac:dyDescent="0.3">
      <c r="A160" s="81" t="s">
        <v>206</v>
      </c>
      <c r="B160" s="86">
        <v>9</v>
      </c>
    </row>
    <row r="161" spans="1:2" x14ac:dyDescent="0.3">
      <c r="A161" s="81" t="s">
        <v>195</v>
      </c>
      <c r="B161" s="86">
        <v>6</v>
      </c>
    </row>
    <row r="162" spans="1:2" x14ac:dyDescent="0.3">
      <c r="A162" s="81" t="s">
        <v>197</v>
      </c>
      <c r="B162" s="86">
        <v>11</v>
      </c>
    </row>
    <row r="163" spans="1:2" x14ac:dyDescent="0.3">
      <c r="A163" s="81" t="s">
        <v>189</v>
      </c>
      <c r="B163" s="86">
        <v>3</v>
      </c>
    </row>
    <row r="164" spans="1:2" x14ac:dyDescent="0.3">
      <c r="A164" s="81" t="s">
        <v>191</v>
      </c>
      <c r="B164" s="86">
        <v>10</v>
      </c>
    </row>
    <row r="165" spans="1:2" x14ac:dyDescent="0.3">
      <c r="A165" s="81" t="s">
        <v>196</v>
      </c>
      <c r="B165" s="86">
        <v>5</v>
      </c>
    </row>
    <row r="166" spans="1:2" x14ac:dyDescent="0.3">
      <c r="A166" s="81" t="s">
        <v>190</v>
      </c>
      <c r="B166" s="86">
        <v>3</v>
      </c>
    </row>
    <row r="167" spans="1:2" x14ac:dyDescent="0.3">
      <c r="A167" s="81" t="s">
        <v>185</v>
      </c>
      <c r="B167" s="86">
        <v>2</v>
      </c>
    </row>
    <row r="168" spans="1:2" x14ac:dyDescent="0.3">
      <c r="A168" s="81" t="s">
        <v>183</v>
      </c>
      <c r="B168" s="86">
        <v>10</v>
      </c>
    </row>
    <row r="169" spans="1:2" x14ac:dyDescent="0.3">
      <c r="A169" s="81" t="s">
        <v>199</v>
      </c>
      <c r="B169" s="86">
        <v>11</v>
      </c>
    </row>
    <row r="170" spans="1:2" x14ac:dyDescent="0.3">
      <c r="A170" s="81" t="s">
        <v>198</v>
      </c>
      <c r="B170" s="86">
        <v>2</v>
      </c>
    </row>
    <row r="171" spans="1:2" x14ac:dyDescent="0.3">
      <c r="A171" s="81" t="s">
        <v>200</v>
      </c>
      <c r="B171" s="86">
        <v>5</v>
      </c>
    </row>
    <row r="172" spans="1:2" x14ac:dyDescent="0.3">
      <c r="A172" s="81" t="s">
        <v>192</v>
      </c>
      <c r="B172" s="86">
        <v>7</v>
      </c>
    </row>
    <row r="173" spans="1:2" x14ac:dyDescent="0.3">
      <c r="A173" s="81" t="s">
        <v>194</v>
      </c>
      <c r="B173" s="86">
        <v>12</v>
      </c>
    </row>
    <row r="174" spans="1:2" x14ac:dyDescent="0.3">
      <c r="A174" s="81" t="s">
        <v>203</v>
      </c>
      <c r="B174" s="86">
        <v>3</v>
      </c>
    </row>
    <row r="175" spans="1:2" x14ac:dyDescent="0.3">
      <c r="A175" s="81" t="s">
        <v>225</v>
      </c>
      <c r="B175" s="86">
        <v>3</v>
      </c>
    </row>
    <row r="176" spans="1:2" x14ac:dyDescent="0.3">
      <c r="A176" s="81" t="s">
        <v>201</v>
      </c>
      <c r="B176" s="86">
        <v>3</v>
      </c>
    </row>
    <row r="177" spans="1:2" x14ac:dyDescent="0.3">
      <c r="A177" s="81" t="s">
        <v>202</v>
      </c>
      <c r="B177" s="86">
        <v>5</v>
      </c>
    </row>
    <row r="178" spans="1:2" x14ac:dyDescent="0.3">
      <c r="A178" s="80" t="s">
        <v>273</v>
      </c>
      <c r="B178" s="86">
        <v>105</v>
      </c>
    </row>
    <row r="179" spans="1:2" x14ac:dyDescent="0.3">
      <c r="A179" s="81" t="s">
        <v>205</v>
      </c>
      <c r="B179" s="86">
        <v>6</v>
      </c>
    </row>
    <row r="180" spans="1:2" x14ac:dyDescent="0.3">
      <c r="A180" s="81" t="s">
        <v>204</v>
      </c>
      <c r="B180" s="86">
        <v>2</v>
      </c>
    </row>
    <row r="181" spans="1:2" x14ac:dyDescent="0.3">
      <c r="A181" s="81" t="s">
        <v>206</v>
      </c>
      <c r="B181" s="86">
        <v>8</v>
      </c>
    </row>
    <row r="182" spans="1:2" x14ac:dyDescent="0.3">
      <c r="A182" s="81" t="s">
        <v>195</v>
      </c>
      <c r="B182" s="86">
        <v>1</v>
      </c>
    </row>
    <row r="183" spans="1:2" x14ac:dyDescent="0.3">
      <c r="A183" s="81" t="s">
        <v>197</v>
      </c>
      <c r="B183" s="86">
        <v>1</v>
      </c>
    </row>
    <row r="184" spans="1:2" x14ac:dyDescent="0.3">
      <c r="A184" s="81" t="s">
        <v>189</v>
      </c>
      <c r="B184" s="86">
        <v>6</v>
      </c>
    </row>
    <row r="185" spans="1:2" x14ac:dyDescent="0.3">
      <c r="A185" s="81" t="s">
        <v>196</v>
      </c>
      <c r="B185" s="86">
        <v>5</v>
      </c>
    </row>
    <row r="186" spans="1:2" x14ac:dyDescent="0.3">
      <c r="A186" s="81" t="s">
        <v>190</v>
      </c>
      <c r="B186" s="86">
        <v>8</v>
      </c>
    </row>
    <row r="187" spans="1:2" x14ac:dyDescent="0.3">
      <c r="A187" s="81" t="s">
        <v>185</v>
      </c>
      <c r="B187" s="86">
        <v>5</v>
      </c>
    </row>
    <row r="188" spans="1:2" x14ac:dyDescent="0.3">
      <c r="A188" s="81" t="s">
        <v>199</v>
      </c>
      <c r="B188" s="86">
        <v>9</v>
      </c>
    </row>
    <row r="189" spans="1:2" x14ac:dyDescent="0.3">
      <c r="A189" s="81" t="s">
        <v>198</v>
      </c>
      <c r="B189" s="86">
        <v>10</v>
      </c>
    </row>
    <row r="190" spans="1:2" x14ac:dyDescent="0.3">
      <c r="A190" s="81" t="s">
        <v>200</v>
      </c>
      <c r="B190" s="86">
        <v>2</v>
      </c>
    </row>
    <row r="191" spans="1:2" x14ac:dyDescent="0.3">
      <c r="A191" s="81" t="s">
        <v>192</v>
      </c>
      <c r="B191" s="86">
        <v>4</v>
      </c>
    </row>
    <row r="192" spans="1:2" x14ac:dyDescent="0.3">
      <c r="A192" s="81" t="s">
        <v>193</v>
      </c>
      <c r="B192" s="86">
        <v>4</v>
      </c>
    </row>
    <row r="193" spans="1:2" x14ac:dyDescent="0.3">
      <c r="A193" s="81" t="s">
        <v>194</v>
      </c>
      <c r="B193" s="86">
        <v>2</v>
      </c>
    </row>
    <row r="194" spans="1:2" x14ac:dyDescent="0.3">
      <c r="A194" s="81" t="s">
        <v>188</v>
      </c>
      <c r="B194" s="86">
        <v>5</v>
      </c>
    </row>
    <row r="195" spans="1:2" x14ac:dyDescent="0.3">
      <c r="A195" s="81" t="s">
        <v>203</v>
      </c>
      <c r="B195" s="86">
        <v>12</v>
      </c>
    </row>
    <row r="196" spans="1:2" x14ac:dyDescent="0.3">
      <c r="A196" s="81" t="s">
        <v>225</v>
      </c>
      <c r="B196" s="86">
        <v>4</v>
      </c>
    </row>
    <row r="197" spans="1:2" x14ac:dyDescent="0.3">
      <c r="A197" s="81" t="s">
        <v>201</v>
      </c>
      <c r="B197" s="86">
        <v>2</v>
      </c>
    </row>
    <row r="198" spans="1:2" x14ac:dyDescent="0.3">
      <c r="A198" s="81" t="s">
        <v>202</v>
      </c>
      <c r="B198" s="86">
        <v>9</v>
      </c>
    </row>
    <row r="199" spans="1:2" x14ac:dyDescent="0.3">
      <c r="A199" s="80" t="s">
        <v>513</v>
      </c>
      <c r="B199" s="86">
        <v>1012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3:B362"/>
  <sheetViews>
    <sheetView workbookViewId="0"/>
  </sheetViews>
  <sheetFormatPr defaultColWidth="9.109375" defaultRowHeight="14.4" x14ac:dyDescent="0.3"/>
  <cols>
    <col min="1" max="1" width="19.6640625" style="7" customWidth="1"/>
    <col min="2" max="2" width="22.5546875" style="7" customWidth="1"/>
    <col min="3" max="3" width="19.6640625" style="7" customWidth="1"/>
    <col min="4" max="16384" width="9.109375" style="7"/>
  </cols>
  <sheetData>
    <row r="3" spans="1:2" ht="25.8" x14ac:dyDescent="0.5">
      <c r="A3" s="84" t="s">
        <v>523</v>
      </c>
    </row>
    <row r="6" spans="1:2" x14ac:dyDescent="0.3">
      <c r="A6" s="79" t="s">
        <v>512</v>
      </c>
      <c r="B6" s="83" t="s">
        <v>520</v>
      </c>
    </row>
    <row r="7" spans="1:2" x14ac:dyDescent="0.3">
      <c r="A7" s="80">
        <v>1</v>
      </c>
      <c r="B7" s="83">
        <v>31544</v>
      </c>
    </row>
    <row r="8" spans="1:2" x14ac:dyDescent="0.3">
      <c r="A8" s="81" t="s">
        <v>485</v>
      </c>
      <c r="B8" s="83">
        <v>35</v>
      </c>
    </row>
    <row r="9" spans="1:2" x14ac:dyDescent="0.3">
      <c r="A9" s="81" t="s">
        <v>40</v>
      </c>
      <c r="B9" s="83">
        <v>5600</v>
      </c>
    </row>
    <row r="10" spans="1:2" x14ac:dyDescent="0.3">
      <c r="A10" s="81" t="s">
        <v>500</v>
      </c>
      <c r="B10" s="83">
        <v>800</v>
      </c>
    </row>
    <row r="11" spans="1:2" x14ac:dyDescent="0.3">
      <c r="A11" s="81" t="s">
        <v>497</v>
      </c>
      <c r="B11" s="83">
        <v>510</v>
      </c>
    </row>
    <row r="12" spans="1:2" x14ac:dyDescent="0.3">
      <c r="A12" s="81" t="s">
        <v>29</v>
      </c>
      <c r="B12" s="83">
        <v>3200</v>
      </c>
    </row>
    <row r="13" spans="1:2" x14ac:dyDescent="0.3">
      <c r="A13" s="81" t="s">
        <v>26</v>
      </c>
      <c r="B13" s="83">
        <v>2200</v>
      </c>
    </row>
    <row r="14" spans="1:2" x14ac:dyDescent="0.3">
      <c r="A14" s="81" t="s">
        <v>499</v>
      </c>
      <c r="B14" s="83">
        <v>240</v>
      </c>
    </row>
    <row r="15" spans="1:2" x14ac:dyDescent="0.3">
      <c r="A15" s="81" t="s">
        <v>37</v>
      </c>
      <c r="B15" s="83">
        <v>100</v>
      </c>
    </row>
    <row r="16" spans="1:2" x14ac:dyDescent="0.3">
      <c r="A16" s="81" t="s">
        <v>30</v>
      </c>
      <c r="B16" s="83">
        <v>860</v>
      </c>
    </row>
    <row r="17" spans="1:2" x14ac:dyDescent="0.3">
      <c r="A17" s="81" t="s">
        <v>33</v>
      </c>
      <c r="B17" s="83">
        <v>2280</v>
      </c>
    </row>
    <row r="18" spans="1:2" x14ac:dyDescent="0.3">
      <c r="A18" s="81" t="s">
        <v>488</v>
      </c>
      <c r="B18" s="83">
        <v>90</v>
      </c>
    </row>
    <row r="19" spans="1:2" x14ac:dyDescent="0.3">
      <c r="A19" s="81" t="s">
        <v>477</v>
      </c>
      <c r="B19" s="83">
        <v>3200</v>
      </c>
    </row>
    <row r="20" spans="1:2" x14ac:dyDescent="0.3">
      <c r="A20" s="81" t="s">
        <v>34</v>
      </c>
      <c r="B20" s="83">
        <v>540</v>
      </c>
    </row>
    <row r="21" spans="1:2" x14ac:dyDescent="0.3">
      <c r="A21" s="81" t="s">
        <v>323</v>
      </c>
      <c r="B21" s="83">
        <v>670</v>
      </c>
    </row>
    <row r="22" spans="1:2" x14ac:dyDescent="0.3">
      <c r="A22" s="81" t="s">
        <v>489</v>
      </c>
      <c r="B22" s="83">
        <v>1100</v>
      </c>
    </row>
    <row r="23" spans="1:2" x14ac:dyDescent="0.3">
      <c r="A23" s="81" t="s">
        <v>35</v>
      </c>
      <c r="B23" s="83">
        <v>120</v>
      </c>
    </row>
    <row r="24" spans="1:2" x14ac:dyDescent="0.3">
      <c r="A24" s="81" t="s">
        <v>320</v>
      </c>
      <c r="B24" s="83">
        <v>350</v>
      </c>
    </row>
    <row r="25" spans="1:2" x14ac:dyDescent="0.3">
      <c r="A25" s="81" t="s">
        <v>494</v>
      </c>
      <c r="B25" s="83">
        <v>1280</v>
      </c>
    </row>
    <row r="26" spans="1:2" x14ac:dyDescent="0.3">
      <c r="A26" s="81" t="s">
        <v>486</v>
      </c>
      <c r="B26" s="83">
        <v>80</v>
      </c>
    </row>
    <row r="27" spans="1:2" x14ac:dyDescent="0.3">
      <c r="A27" s="81" t="s">
        <v>291</v>
      </c>
      <c r="B27" s="83">
        <v>35</v>
      </c>
    </row>
    <row r="28" spans="1:2" x14ac:dyDescent="0.3">
      <c r="A28" s="81" t="s">
        <v>25</v>
      </c>
      <c r="B28" s="83">
        <v>1200</v>
      </c>
    </row>
    <row r="29" spans="1:2" x14ac:dyDescent="0.3">
      <c r="A29" s="81" t="s">
        <v>42</v>
      </c>
      <c r="B29" s="83">
        <v>2028</v>
      </c>
    </row>
    <row r="30" spans="1:2" x14ac:dyDescent="0.3">
      <c r="A30" s="81" t="s">
        <v>333</v>
      </c>
      <c r="B30" s="83">
        <v>70</v>
      </c>
    </row>
    <row r="31" spans="1:2" x14ac:dyDescent="0.3">
      <c r="A31" s="81" t="s">
        <v>24</v>
      </c>
      <c r="B31" s="83">
        <v>600</v>
      </c>
    </row>
    <row r="32" spans="1:2" x14ac:dyDescent="0.3">
      <c r="A32" s="81" t="s">
        <v>27</v>
      </c>
      <c r="B32" s="83">
        <v>1500</v>
      </c>
    </row>
    <row r="33" spans="1:2" x14ac:dyDescent="0.3">
      <c r="A33" s="81" t="s">
        <v>39</v>
      </c>
      <c r="B33" s="83">
        <v>980</v>
      </c>
    </row>
    <row r="34" spans="1:2" x14ac:dyDescent="0.3">
      <c r="A34" s="81" t="s">
        <v>493</v>
      </c>
      <c r="B34" s="83">
        <v>76</v>
      </c>
    </row>
    <row r="35" spans="1:2" x14ac:dyDescent="0.3">
      <c r="A35" s="81" t="s">
        <v>330</v>
      </c>
      <c r="B35" s="83">
        <v>1800</v>
      </c>
    </row>
    <row r="36" spans="1:2" x14ac:dyDescent="0.3">
      <c r="A36" s="80">
        <v>2</v>
      </c>
      <c r="B36" s="83">
        <v>38846</v>
      </c>
    </row>
    <row r="37" spans="1:2" x14ac:dyDescent="0.3">
      <c r="A37" s="81" t="s">
        <v>485</v>
      </c>
      <c r="B37" s="83">
        <v>2700</v>
      </c>
    </row>
    <row r="38" spans="1:2" x14ac:dyDescent="0.3">
      <c r="A38" s="81" t="s">
        <v>36</v>
      </c>
      <c r="B38" s="83">
        <v>400</v>
      </c>
    </row>
    <row r="39" spans="1:2" x14ac:dyDescent="0.3">
      <c r="A39" s="81" t="s">
        <v>40</v>
      </c>
      <c r="B39" s="83">
        <v>1635</v>
      </c>
    </row>
    <row r="40" spans="1:2" x14ac:dyDescent="0.3">
      <c r="A40" s="81" t="s">
        <v>328</v>
      </c>
      <c r="B40" s="83">
        <v>60</v>
      </c>
    </row>
    <row r="41" spans="1:2" x14ac:dyDescent="0.3">
      <c r="A41" s="81" t="s">
        <v>500</v>
      </c>
      <c r="B41" s="83">
        <v>700</v>
      </c>
    </row>
    <row r="42" spans="1:2" x14ac:dyDescent="0.3">
      <c r="A42" s="81" t="s">
        <v>496</v>
      </c>
      <c r="B42" s="83">
        <v>1050</v>
      </c>
    </row>
    <row r="43" spans="1:2" x14ac:dyDescent="0.3">
      <c r="A43" s="81" t="s">
        <v>28</v>
      </c>
      <c r="B43" s="83">
        <v>245</v>
      </c>
    </row>
    <row r="44" spans="1:2" x14ac:dyDescent="0.3">
      <c r="A44" s="81" t="s">
        <v>497</v>
      </c>
      <c r="B44" s="83">
        <v>3000</v>
      </c>
    </row>
    <row r="45" spans="1:2" x14ac:dyDescent="0.3">
      <c r="A45" s="81" t="s">
        <v>29</v>
      </c>
      <c r="B45" s="83">
        <v>1200</v>
      </c>
    </row>
    <row r="46" spans="1:2" x14ac:dyDescent="0.3">
      <c r="A46" s="81" t="s">
        <v>26</v>
      </c>
      <c r="B46" s="83">
        <v>240</v>
      </c>
    </row>
    <row r="47" spans="1:2" x14ac:dyDescent="0.3">
      <c r="A47" s="81" t="s">
        <v>43</v>
      </c>
      <c r="B47" s="83">
        <v>230</v>
      </c>
    </row>
    <row r="48" spans="1:2" x14ac:dyDescent="0.3">
      <c r="A48" s="81" t="s">
        <v>499</v>
      </c>
      <c r="B48" s="83">
        <v>340</v>
      </c>
    </row>
    <row r="49" spans="1:2" x14ac:dyDescent="0.3">
      <c r="A49" s="81" t="s">
        <v>37</v>
      </c>
      <c r="B49" s="83">
        <v>5760</v>
      </c>
    </row>
    <row r="50" spans="1:2" x14ac:dyDescent="0.3">
      <c r="A50" s="81" t="s">
        <v>314</v>
      </c>
      <c r="B50" s="83">
        <v>800</v>
      </c>
    </row>
    <row r="51" spans="1:2" x14ac:dyDescent="0.3">
      <c r="A51" s="81" t="s">
        <v>487</v>
      </c>
      <c r="B51" s="83">
        <v>180</v>
      </c>
    </row>
    <row r="52" spans="1:2" x14ac:dyDescent="0.3">
      <c r="A52" s="81" t="s">
        <v>296</v>
      </c>
      <c r="B52" s="83">
        <v>420</v>
      </c>
    </row>
    <row r="53" spans="1:2" x14ac:dyDescent="0.3">
      <c r="A53" s="81" t="s">
        <v>33</v>
      </c>
      <c r="B53" s="83">
        <v>600</v>
      </c>
    </row>
    <row r="54" spans="1:2" x14ac:dyDescent="0.3">
      <c r="A54" s="81" t="s">
        <v>488</v>
      </c>
      <c r="B54" s="83">
        <v>70</v>
      </c>
    </row>
    <row r="55" spans="1:2" x14ac:dyDescent="0.3">
      <c r="A55" s="81" t="s">
        <v>323</v>
      </c>
      <c r="B55" s="83">
        <v>1050</v>
      </c>
    </row>
    <row r="56" spans="1:2" x14ac:dyDescent="0.3">
      <c r="A56" s="81" t="s">
        <v>490</v>
      </c>
      <c r="B56" s="83">
        <v>120</v>
      </c>
    </row>
    <row r="57" spans="1:2" x14ac:dyDescent="0.3">
      <c r="A57" s="81" t="s">
        <v>325</v>
      </c>
      <c r="B57" s="83">
        <v>800</v>
      </c>
    </row>
    <row r="58" spans="1:2" x14ac:dyDescent="0.3">
      <c r="A58" s="81" t="s">
        <v>335</v>
      </c>
      <c r="B58" s="83">
        <v>360</v>
      </c>
    </row>
    <row r="59" spans="1:2" x14ac:dyDescent="0.3">
      <c r="A59" s="81" t="s">
        <v>31</v>
      </c>
      <c r="B59" s="83">
        <v>60</v>
      </c>
    </row>
    <row r="60" spans="1:2" x14ac:dyDescent="0.3">
      <c r="A60" s="81" t="s">
        <v>492</v>
      </c>
      <c r="B60" s="83">
        <v>1500</v>
      </c>
    </row>
    <row r="61" spans="1:2" x14ac:dyDescent="0.3">
      <c r="A61" s="81" t="s">
        <v>501</v>
      </c>
      <c r="B61" s="83">
        <v>810</v>
      </c>
    </row>
    <row r="62" spans="1:2" x14ac:dyDescent="0.3">
      <c r="A62" s="81" t="s">
        <v>311</v>
      </c>
      <c r="B62" s="83">
        <v>540</v>
      </c>
    </row>
    <row r="63" spans="1:2" x14ac:dyDescent="0.3">
      <c r="A63" s="81" t="s">
        <v>494</v>
      </c>
      <c r="B63" s="83">
        <v>3398</v>
      </c>
    </row>
    <row r="64" spans="1:2" x14ac:dyDescent="0.3">
      <c r="A64" s="81" t="s">
        <v>291</v>
      </c>
      <c r="B64" s="83">
        <v>1828</v>
      </c>
    </row>
    <row r="65" spans="1:2" x14ac:dyDescent="0.3">
      <c r="A65" s="81" t="s">
        <v>333</v>
      </c>
      <c r="B65" s="83">
        <v>2400</v>
      </c>
    </row>
    <row r="66" spans="1:2" x14ac:dyDescent="0.3">
      <c r="A66" s="81" t="s">
        <v>24</v>
      </c>
      <c r="B66" s="83">
        <v>500</v>
      </c>
    </row>
    <row r="67" spans="1:2" x14ac:dyDescent="0.3">
      <c r="A67" s="81" t="s">
        <v>493</v>
      </c>
      <c r="B67" s="83">
        <v>5600</v>
      </c>
    </row>
    <row r="68" spans="1:2" x14ac:dyDescent="0.3">
      <c r="A68" s="81" t="s">
        <v>330</v>
      </c>
      <c r="B68" s="83">
        <v>250</v>
      </c>
    </row>
    <row r="69" spans="1:2" x14ac:dyDescent="0.3">
      <c r="A69" s="80">
        <v>3</v>
      </c>
      <c r="B69" s="83">
        <v>25412</v>
      </c>
    </row>
    <row r="70" spans="1:2" x14ac:dyDescent="0.3">
      <c r="A70" s="81" t="s">
        <v>485</v>
      </c>
      <c r="B70" s="83">
        <v>210</v>
      </c>
    </row>
    <row r="71" spans="1:2" x14ac:dyDescent="0.3">
      <c r="A71" s="81" t="s">
        <v>36</v>
      </c>
      <c r="B71" s="83">
        <v>170</v>
      </c>
    </row>
    <row r="72" spans="1:2" x14ac:dyDescent="0.3">
      <c r="A72" s="81" t="s">
        <v>317</v>
      </c>
      <c r="B72" s="83">
        <v>900</v>
      </c>
    </row>
    <row r="73" spans="1:2" x14ac:dyDescent="0.3">
      <c r="A73" s="81" t="s">
        <v>40</v>
      </c>
      <c r="B73" s="83">
        <v>40</v>
      </c>
    </row>
    <row r="74" spans="1:2" x14ac:dyDescent="0.3">
      <c r="A74" s="81" t="s">
        <v>500</v>
      </c>
      <c r="B74" s="83">
        <v>180</v>
      </c>
    </row>
    <row r="75" spans="1:2" x14ac:dyDescent="0.3">
      <c r="A75" s="81" t="s">
        <v>496</v>
      </c>
      <c r="B75" s="83">
        <v>2700</v>
      </c>
    </row>
    <row r="76" spans="1:2" x14ac:dyDescent="0.3">
      <c r="A76" s="81" t="s">
        <v>497</v>
      </c>
      <c r="B76" s="83">
        <v>1800</v>
      </c>
    </row>
    <row r="77" spans="1:2" x14ac:dyDescent="0.3">
      <c r="A77" s="81" t="s">
        <v>29</v>
      </c>
      <c r="B77" s="83">
        <v>140</v>
      </c>
    </row>
    <row r="78" spans="1:2" x14ac:dyDescent="0.3">
      <c r="A78" s="81" t="s">
        <v>498</v>
      </c>
      <c r="B78" s="83">
        <v>76</v>
      </c>
    </row>
    <row r="79" spans="1:2" x14ac:dyDescent="0.3">
      <c r="A79" s="81" t="s">
        <v>26</v>
      </c>
      <c r="B79" s="83">
        <v>750</v>
      </c>
    </row>
    <row r="80" spans="1:2" x14ac:dyDescent="0.3">
      <c r="A80" s="81" t="s">
        <v>43</v>
      </c>
      <c r="B80" s="83">
        <v>1600</v>
      </c>
    </row>
    <row r="81" spans="1:2" x14ac:dyDescent="0.3">
      <c r="A81" s="81" t="s">
        <v>296</v>
      </c>
      <c r="B81" s="83">
        <v>90</v>
      </c>
    </row>
    <row r="82" spans="1:2" x14ac:dyDescent="0.3">
      <c r="A82" s="81" t="s">
        <v>30</v>
      </c>
      <c r="B82" s="83">
        <v>1600</v>
      </c>
    </row>
    <row r="83" spans="1:2" x14ac:dyDescent="0.3">
      <c r="A83" s="81" t="s">
        <v>488</v>
      </c>
      <c r="B83" s="83">
        <v>350</v>
      </c>
    </row>
    <row r="84" spans="1:2" x14ac:dyDescent="0.3">
      <c r="A84" s="81" t="s">
        <v>323</v>
      </c>
      <c r="B84" s="83">
        <v>35</v>
      </c>
    </row>
    <row r="85" spans="1:2" x14ac:dyDescent="0.3">
      <c r="A85" s="81" t="s">
        <v>490</v>
      </c>
      <c r="B85" s="83">
        <v>180</v>
      </c>
    </row>
    <row r="86" spans="1:2" x14ac:dyDescent="0.3">
      <c r="A86" s="81" t="s">
        <v>325</v>
      </c>
      <c r="B86" s="83">
        <v>400</v>
      </c>
    </row>
    <row r="87" spans="1:2" x14ac:dyDescent="0.3">
      <c r="A87" s="81" t="s">
        <v>489</v>
      </c>
      <c r="B87" s="83">
        <v>180</v>
      </c>
    </row>
    <row r="88" spans="1:2" x14ac:dyDescent="0.3">
      <c r="A88" s="81" t="s">
        <v>35</v>
      </c>
      <c r="B88" s="83">
        <v>76</v>
      </c>
    </row>
    <row r="89" spans="1:2" x14ac:dyDescent="0.3">
      <c r="A89" s="81" t="s">
        <v>31</v>
      </c>
      <c r="B89" s="83">
        <v>800</v>
      </c>
    </row>
    <row r="90" spans="1:2" x14ac:dyDescent="0.3">
      <c r="A90" s="81" t="s">
        <v>492</v>
      </c>
      <c r="B90" s="83">
        <v>30</v>
      </c>
    </row>
    <row r="91" spans="1:2" x14ac:dyDescent="0.3">
      <c r="A91" s="81" t="s">
        <v>320</v>
      </c>
      <c r="B91" s="83">
        <v>1600</v>
      </c>
    </row>
    <row r="92" spans="1:2" x14ac:dyDescent="0.3">
      <c r="A92" s="81" t="s">
        <v>501</v>
      </c>
      <c r="B92" s="83">
        <v>3310</v>
      </c>
    </row>
    <row r="93" spans="1:2" x14ac:dyDescent="0.3">
      <c r="A93" s="81" t="s">
        <v>494</v>
      </c>
      <c r="B93" s="83">
        <v>185</v>
      </c>
    </row>
    <row r="94" spans="1:2" x14ac:dyDescent="0.3">
      <c r="A94" s="81" t="s">
        <v>486</v>
      </c>
      <c r="B94" s="83">
        <v>1040</v>
      </c>
    </row>
    <row r="95" spans="1:2" x14ac:dyDescent="0.3">
      <c r="A95" s="81" t="s">
        <v>25</v>
      </c>
      <c r="B95" s="83">
        <v>270</v>
      </c>
    </row>
    <row r="96" spans="1:2" x14ac:dyDescent="0.3">
      <c r="A96" s="81" t="s">
        <v>42</v>
      </c>
      <c r="B96" s="83">
        <v>2200</v>
      </c>
    </row>
    <row r="97" spans="1:2" x14ac:dyDescent="0.3">
      <c r="A97" s="81" t="s">
        <v>333</v>
      </c>
      <c r="B97" s="83">
        <v>1800</v>
      </c>
    </row>
    <row r="98" spans="1:2" x14ac:dyDescent="0.3">
      <c r="A98" s="81" t="s">
        <v>24</v>
      </c>
      <c r="B98" s="83">
        <v>1500</v>
      </c>
    </row>
    <row r="99" spans="1:2" x14ac:dyDescent="0.3">
      <c r="A99" s="81" t="s">
        <v>493</v>
      </c>
      <c r="B99" s="83">
        <v>1200</v>
      </c>
    </row>
    <row r="100" spans="1:2" x14ac:dyDescent="0.3">
      <c r="A100" s="80">
        <v>4</v>
      </c>
      <c r="B100" s="83">
        <v>41854</v>
      </c>
    </row>
    <row r="101" spans="1:2" x14ac:dyDescent="0.3">
      <c r="A101" s="81" t="s">
        <v>317</v>
      </c>
      <c r="B101" s="83">
        <v>8400</v>
      </c>
    </row>
    <row r="102" spans="1:2" x14ac:dyDescent="0.3">
      <c r="A102" s="81" t="s">
        <v>328</v>
      </c>
      <c r="B102" s="83">
        <v>3200</v>
      </c>
    </row>
    <row r="103" spans="1:2" x14ac:dyDescent="0.3">
      <c r="A103" s="81" t="s">
        <v>496</v>
      </c>
      <c r="B103" s="83">
        <v>1290</v>
      </c>
    </row>
    <row r="104" spans="1:2" x14ac:dyDescent="0.3">
      <c r="A104" s="81" t="s">
        <v>28</v>
      </c>
      <c r="B104" s="83">
        <v>105</v>
      </c>
    </row>
    <row r="105" spans="1:2" x14ac:dyDescent="0.3">
      <c r="A105" s="81" t="s">
        <v>497</v>
      </c>
      <c r="B105" s="83">
        <v>270</v>
      </c>
    </row>
    <row r="106" spans="1:2" x14ac:dyDescent="0.3">
      <c r="A106" s="81" t="s">
        <v>26</v>
      </c>
      <c r="B106" s="83">
        <v>228</v>
      </c>
    </row>
    <row r="107" spans="1:2" x14ac:dyDescent="0.3">
      <c r="A107" s="81" t="s">
        <v>499</v>
      </c>
      <c r="B107" s="83">
        <v>976</v>
      </c>
    </row>
    <row r="108" spans="1:2" x14ac:dyDescent="0.3">
      <c r="A108" s="81" t="s">
        <v>314</v>
      </c>
      <c r="B108" s="83">
        <v>250</v>
      </c>
    </row>
    <row r="109" spans="1:2" x14ac:dyDescent="0.3">
      <c r="A109" s="81" t="s">
        <v>487</v>
      </c>
      <c r="B109" s="83">
        <v>1500</v>
      </c>
    </row>
    <row r="110" spans="1:2" x14ac:dyDescent="0.3">
      <c r="A110" s="81" t="s">
        <v>296</v>
      </c>
      <c r="B110" s="83">
        <v>320</v>
      </c>
    </row>
    <row r="111" spans="1:2" x14ac:dyDescent="0.3">
      <c r="A111" s="81" t="s">
        <v>33</v>
      </c>
      <c r="B111" s="83">
        <v>790</v>
      </c>
    </row>
    <row r="112" spans="1:2" x14ac:dyDescent="0.3">
      <c r="A112" s="81" t="s">
        <v>477</v>
      </c>
      <c r="B112" s="83">
        <v>60</v>
      </c>
    </row>
    <row r="113" spans="1:2" x14ac:dyDescent="0.3">
      <c r="A113" s="81" t="s">
        <v>38</v>
      </c>
      <c r="B113" s="83">
        <v>1380</v>
      </c>
    </row>
    <row r="114" spans="1:2" x14ac:dyDescent="0.3">
      <c r="A114" s="81" t="s">
        <v>335</v>
      </c>
      <c r="B114" s="83">
        <v>70</v>
      </c>
    </row>
    <row r="115" spans="1:2" x14ac:dyDescent="0.3">
      <c r="A115" s="81" t="s">
        <v>492</v>
      </c>
      <c r="B115" s="83">
        <v>2400</v>
      </c>
    </row>
    <row r="116" spans="1:2" x14ac:dyDescent="0.3">
      <c r="A116" s="81" t="s">
        <v>501</v>
      </c>
      <c r="B116" s="83">
        <v>180</v>
      </c>
    </row>
    <row r="117" spans="1:2" x14ac:dyDescent="0.3">
      <c r="A117" s="81" t="s">
        <v>486</v>
      </c>
      <c r="B117" s="83">
        <v>9300</v>
      </c>
    </row>
    <row r="118" spans="1:2" x14ac:dyDescent="0.3">
      <c r="A118" s="81" t="s">
        <v>291</v>
      </c>
      <c r="B118" s="83">
        <v>310</v>
      </c>
    </row>
    <row r="119" spans="1:2" x14ac:dyDescent="0.3">
      <c r="A119" s="81" t="s">
        <v>491</v>
      </c>
      <c r="B119" s="83">
        <v>1450</v>
      </c>
    </row>
    <row r="120" spans="1:2" x14ac:dyDescent="0.3">
      <c r="A120" s="81" t="s">
        <v>25</v>
      </c>
      <c r="B120" s="83">
        <v>1320</v>
      </c>
    </row>
    <row r="121" spans="1:2" x14ac:dyDescent="0.3">
      <c r="A121" s="81" t="s">
        <v>42</v>
      </c>
      <c r="B121" s="83">
        <v>1860</v>
      </c>
    </row>
    <row r="122" spans="1:2" x14ac:dyDescent="0.3">
      <c r="A122" s="81" t="s">
        <v>333</v>
      </c>
      <c r="B122" s="83">
        <v>660</v>
      </c>
    </row>
    <row r="123" spans="1:2" x14ac:dyDescent="0.3">
      <c r="A123" s="81" t="s">
        <v>24</v>
      </c>
      <c r="B123" s="83">
        <v>1345</v>
      </c>
    </row>
    <row r="124" spans="1:2" x14ac:dyDescent="0.3">
      <c r="A124" s="81" t="s">
        <v>39</v>
      </c>
      <c r="B124" s="83">
        <v>160</v>
      </c>
    </row>
    <row r="125" spans="1:2" x14ac:dyDescent="0.3">
      <c r="A125" s="81" t="s">
        <v>493</v>
      </c>
      <c r="B125" s="83">
        <v>3760</v>
      </c>
    </row>
    <row r="126" spans="1:2" x14ac:dyDescent="0.3">
      <c r="A126" s="81" t="s">
        <v>330</v>
      </c>
      <c r="B126" s="83">
        <v>270</v>
      </c>
    </row>
    <row r="127" spans="1:2" x14ac:dyDescent="0.3">
      <c r="A127" s="80">
        <v>5</v>
      </c>
      <c r="B127" s="83">
        <v>25089</v>
      </c>
    </row>
    <row r="128" spans="1:2" x14ac:dyDescent="0.3">
      <c r="A128" s="81" t="s">
        <v>317</v>
      </c>
      <c r="B128" s="83">
        <v>120</v>
      </c>
    </row>
    <row r="129" spans="1:2" x14ac:dyDescent="0.3">
      <c r="A129" s="81" t="s">
        <v>40</v>
      </c>
      <c r="B129" s="83">
        <v>160</v>
      </c>
    </row>
    <row r="130" spans="1:2" x14ac:dyDescent="0.3">
      <c r="A130" s="81" t="s">
        <v>495</v>
      </c>
      <c r="B130" s="83">
        <v>418</v>
      </c>
    </row>
    <row r="131" spans="1:2" x14ac:dyDescent="0.3">
      <c r="A131" s="81" t="s">
        <v>496</v>
      </c>
      <c r="B131" s="83">
        <v>90</v>
      </c>
    </row>
    <row r="132" spans="1:2" x14ac:dyDescent="0.3">
      <c r="A132" s="81" t="s">
        <v>498</v>
      </c>
      <c r="B132" s="83">
        <v>1550</v>
      </c>
    </row>
    <row r="133" spans="1:2" x14ac:dyDescent="0.3">
      <c r="A133" s="81" t="s">
        <v>26</v>
      </c>
      <c r="B133" s="83">
        <v>100</v>
      </c>
    </row>
    <row r="134" spans="1:2" x14ac:dyDescent="0.3">
      <c r="A134" s="81" t="s">
        <v>37</v>
      </c>
      <c r="B134" s="83">
        <v>340</v>
      </c>
    </row>
    <row r="135" spans="1:2" x14ac:dyDescent="0.3">
      <c r="A135" s="81" t="s">
        <v>314</v>
      </c>
      <c r="B135" s="83">
        <v>700</v>
      </c>
    </row>
    <row r="136" spans="1:2" x14ac:dyDescent="0.3">
      <c r="A136" s="81" t="s">
        <v>487</v>
      </c>
      <c r="B136" s="83">
        <v>1025</v>
      </c>
    </row>
    <row r="137" spans="1:2" x14ac:dyDescent="0.3">
      <c r="A137" s="81" t="s">
        <v>488</v>
      </c>
      <c r="B137" s="83">
        <v>440</v>
      </c>
    </row>
    <row r="138" spans="1:2" x14ac:dyDescent="0.3">
      <c r="A138" s="81" t="s">
        <v>477</v>
      </c>
      <c r="B138" s="83">
        <v>2980</v>
      </c>
    </row>
    <row r="139" spans="1:2" x14ac:dyDescent="0.3">
      <c r="A139" s="81" t="s">
        <v>38</v>
      </c>
      <c r="B139" s="83">
        <v>400</v>
      </c>
    </row>
    <row r="140" spans="1:2" x14ac:dyDescent="0.3">
      <c r="A140" s="81" t="s">
        <v>34</v>
      </c>
      <c r="B140" s="83">
        <v>140</v>
      </c>
    </row>
    <row r="141" spans="1:2" x14ac:dyDescent="0.3">
      <c r="A141" s="81" t="s">
        <v>323</v>
      </c>
      <c r="B141" s="83">
        <v>2130</v>
      </c>
    </row>
    <row r="142" spans="1:2" x14ac:dyDescent="0.3">
      <c r="A142" s="81" t="s">
        <v>335</v>
      </c>
      <c r="B142" s="83">
        <v>1600</v>
      </c>
    </row>
    <row r="143" spans="1:2" x14ac:dyDescent="0.3">
      <c r="A143" s="81" t="s">
        <v>35</v>
      </c>
      <c r="B143" s="83">
        <v>876</v>
      </c>
    </row>
    <row r="144" spans="1:2" x14ac:dyDescent="0.3">
      <c r="A144" s="81" t="s">
        <v>31</v>
      </c>
      <c r="B144" s="83">
        <v>1890</v>
      </c>
    </row>
    <row r="145" spans="1:2" x14ac:dyDescent="0.3">
      <c r="A145" s="81" t="s">
        <v>494</v>
      </c>
      <c r="B145" s="83">
        <v>80</v>
      </c>
    </row>
    <row r="146" spans="1:2" x14ac:dyDescent="0.3">
      <c r="A146" s="81" t="s">
        <v>491</v>
      </c>
      <c r="B146" s="83">
        <v>500</v>
      </c>
    </row>
    <row r="147" spans="1:2" x14ac:dyDescent="0.3">
      <c r="A147" s="81" t="s">
        <v>25</v>
      </c>
      <c r="B147" s="83">
        <v>1410</v>
      </c>
    </row>
    <row r="148" spans="1:2" x14ac:dyDescent="0.3">
      <c r="A148" s="81" t="s">
        <v>42</v>
      </c>
      <c r="B148" s="83">
        <v>2300</v>
      </c>
    </row>
    <row r="149" spans="1:2" x14ac:dyDescent="0.3">
      <c r="A149" s="81" t="s">
        <v>333</v>
      </c>
      <c r="B149" s="83">
        <v>400</v>
      </c>
    </row>
    <row r="150" spans="1:2" x14ac:dyDescent="0.3">
      <c r="A150" s="81" t="s">
        <v>24</v>
      </c>
      <c r="B150" s="83">
        <v>500</v>
      </c>
    </row>
    <row r="151" spans="1:2" x14ac:dyDescent="0.3">
      <c r="A151" s="81" t="s">
        <v>32</v>
      </c>
      <c r="B151" s="83">
        <v>1200</v>
      </c>
    </row>
    <row r="152" spans="1:2" x14ac:dyDescent="0.3">
      <c r="A152" s="81" t="s">
        <v>27</v>
      </c>
      <c r="B152" s="83">
        <v>540</v>
      </c>
    </row>
    <row r="153" spans="1:2" x14ac:dyDescent="0.3">
      <c r="A153" s="81" t="s">
        <v>330</v>
      </c>
      <c r="B153" s="83">
        <v>3200</v>
      </c>
    </row>
    <row r="154" spans="1:2" x14ac:dyDescent="0.3">
      <c r="A154" s="80">
        <v>6</v>
      </c>
      <c r="B154" s="83">
        <v>29178</v>
      </c>
    </row>
    <row r="155" spans="1:2" x14ac:dyDescent="0.3">
      <c r="A155" s="81" t="s">
        <v>485</v>
      </c>
      <c r="B155" s="83">
        <v>900</v>
      </c>
    </row>
    <row r="156" spans="1:2" x14ac:dyDescent="0.3">
      <c r="A156" s="81" t="s">
        <v>495</v>
      </c>
      <c r="B156" s="83">
        <v>1260</v>
      </c>
    </row>
    <row r="157" spans="1:2" x14ac:dyDescent="0.3">
      <c r="A157" s="81" t="s">
        <v>496</v>
      </c>
      <c r="B157" s="83">
        <v>1040</v>
      </c>
    </row>
    <row r="158" spans="1:2" x14ac:dyDescent="0.3">
      <c r="A158" s="81" t="s">
        <v>28</v>
      </c>
      <c r="B158" s="83">
        <v>750</v>
      </c>
    </row>
    <row r="159" spans="1:2" x14ac:dyDescent="0.3">
      <c r="A159" s="81" t="s">
        <v>498</v>
      </c>
      <c r="B159" s="83">
        <v>5600</v>
      </c>
    </row>
    <row r="160" spans="1:2" x14ac:dyDescent="0.3">
      <c r="A160" s="81" t="s">
        <v>26</v>
      </c>
      <c r="B160" s="83">
        <v>80</v>
      </c>
    </row>
    <row r="161" spans="1:2" x14ac:dyDescent="0.3">
      <c r="A161" s="81" t="s">
        <v>43</v>
      </c>
      <c r="B161" s="83">
        <v>105</v>
      </c>
    </row>
    <row r="162" spans="1:2" x14ac:dyDescent="0.3">
      <c r="A162" s="81" t="s">
        <v>499</v>
      </c>
      <c r="B162" s="83">
        <v>2200</v>
      </c>
    </row>
    <row r="163" spans="1:2" x14ac:dyDescent="0.3">
      <c r="A163" s="81" t="s">
        <v>37</v>
      </c>
      <c r="B163" s="83">
        <v>920</v>
      </c>
    </row>
    <row r="164" spans="1:2" x14ac:dyDescent="0.3">
      <c r="A164" s="81" t="s">
        <v>314</v>
      </c>
      <c r="B164" s="83">
        <v>340</v>
      </c>
    </row>
    <row r="165" spans="1:2" x14ac:dyDescent="0.3">
      <c r="A165" s="81" t="s">
        <v>487</v>
      </c>
      <c r="B165" s="83">
        <v>152</v>
      </c>
    </row>
    <row r="166" spans="1:2" x14ac:dyDescent="0.3">
      <c r="A166" s="81" t="s">
        <v>30</v>
      </c>
      <c r="B166" s="83">
        <v>976</v>
      </c>
    </row>
    <row r="167" spans="1:2" x14ac:dyDescent="0.3">
      <c r="A167" s="81" t="s">
        <v>41</v>
      </c>
      <c r="B167" s="83">
        <v>540</v>
      </c>
    </row>
    <row r="168" spans="1:2" x14ac:dyDescent="0.3">
      <c r="A168" s="81" t="s">
        <v>477</v>
      </c>
      <c r="B168" s="83">
        <v>35</v>
      </c>
    </row>
    <row r="169" spans="1:2" x14ac:dyDescent="0.3">
      <c r="A169" s="81" t="s">
        <v>38</v>
      </c>
      <c r="B169" s="83">
        <v>480</v>
      </c>
    </row>
    <row r="170" spans="1:2" x14ac:dyDescent="0.3">
      <c r="A170" s="81" t="s">
        <v>34</v>
      </c>
      <c r="B170" s="83">
        <v>100</v>
      </c>
    </row>
    <row r="171" spans="1:2" x14ac:dyDescent="0.3">
      <c r="A171" s="81" t="s">
        <v>335</v>
      </c>
      <c r="B171" s="83">
        <v>2400</v>
      </c>
    </row>
    <row r="172" spans="1:2" x14ac:dyDescent="0.3">
      <c r="A172" s="81" t="s">
        <v>489</v>
      </c>
      <c r="B172" s="83">
        <v>740</v>
      </c>
    </row>
    <row r="173" spans="1:2" x14ac:dyDescent="0.3">
      <c r="A173" s="81" t="s">
        <v>31</v>
      </c>
      <c r="B173" s="83">
        <v>1550</v>
      </c>
    </row>
    <row r="174" spans="1:2" x14ac:dyDescent="0.3">
      <c r="A174" s="81" t="s">
        <v>320</v>
      </c>
      <c r="B174" s="83">
        <v>4300</v>
      </c>
    </row>
    <row r="175" spans="1:2" x14ac:dyDescent="0.3">
      <c r="A175" s="81" t="s">
        <v>311</v>
      </c>
      <c r="B175" s="83">
        <v>90</v>
      </c>
    </row>
    <row r="176" spans="1:2" x14ac:dyDescent="0.3">
      <c r="A176" s="81" t="s">
        <v>494</v>
      </c>
      <c r="B176" s="83">
        <v>1500</v>
      </c>
    </row>
    <row r="177" spans="1:2" x14ac:dyDescent="0.3">
      <c r="A177" s="81" t="s">
        <v>291</v>
      </c>
      <c r="B177" s="83">
        <v>380</v>
      </c>
    </row>
    <row r="178" spans="1:2" x14ac:dyDescent="0.3">
      <c r="A178" s="81" t="s">
        <v>25</v>
      </c>
      <c r="B178" s="83">
        <v>300</v>
      </c>
    </row>
    <row r="179" spans="1:2" x14ac:dyDescent="0.3">
      <c r="A179" s="81" t="s">
        <v>333</v>
      </c>
      <c r="B179" s="83">
        <v>700</v>
      </c>
    </row>
    <row r="180" spans="1:2" x14ac:dyDescent="0.3">
      <c r="A180" s="81" t="s">
        <v>32</v>
      </c>
      <c r="B180" s="83">
        <v>540</v>
      </c>
    </row>
    <row r="181" spans="1:2" x14ac:dyDescent="0.3">
      <c r="A181" s="81" t="s">
        <v>39</v>
      </c>
      <c r="B181" s="83">
        <v>1200</v>
      </c>
    </row>
    <row r="182" spans="1:2" x14ac:dyDescent="0.3">
      <c r="A182" s="80">
        <v>7</v>
      </c>
      <c r="B182" s="83">
        <v>26625</v>
      </c>
    </row>
    <row r="183" spans="1:2" x14ac:dyDescent="0.3">
      <c r="A183" s="81" t="s">
        <v>485</v>
      </c>
      <c r="B183" s="83">
        <v>1800</v>
      </c>
    </row>
    <row r="184" spans="1:2" x14ac:dyDescent="0.3">
      <c r="A184" s="81" t="s">
        <v>36</v>
      </c>
      <c r="B184" s="83">
        <v>1600</v>
      </c>
    </row>
    <row r="185" spans="1:2" x14ac:dyDescent="0.3">
      <c r="A185" s="81" t="s">
        <v>317</v>
      </c>
      <c r="B185" s="83">
        <v>1600</v>
      </c>
    </row>
    <row r="186" spans="1:2" x14ac:dyDescent="0.3">
      <c r="A186" s="81" t="s">
        <v>500</v>
      </c>
      <c r="B186" s="83">
        <v>500</v>
      </c>
    </row>
    <row r="187" spans="1:2" x14ac:dyDescent="0.3">
      <c r="A187" s="81" t="s">
        <v>495</v>
      </c>
      <c r="B187" s="83">
        <v>1200</v>
      </c>
    </row>
    <row r="188" spans="1:2" x14ac:dyDescent="0.3">
      <c r="A188" s="81" t="s">
        <v>26</v>
      </c>
      <c r="B188" s="83">
        <v>420</v>
      </c>
    </row>
    <row r="189" spans="1:2" x14ac:dyDescent="0.3">
      <c r="A189" s="81" t="s">
        <v>487</v>
      </c>
      <c r="B189" s="83">
        <v>60</v>
      </c>
    </row>
    <row r="190" spans="1:2" x14ac:dyDescent="0.3">
      <c r="A190" s="81" t="s">
        <v>30</v>
      </c>
      <c r="B190" s="83">
        <v>200</v>
      </c>
    </row>
    <row r="191" spans="1:2" x14ac:dyDescent="0.3">
      <c r="A191" s="81" t="s">
        <v>488</v>
      </c>
      <c r="B191" s="83">
        <v>750</v>
      </c>
    </row>
    <row r="192" spans="1:2" x14ac:dyDescent="0.3">
      <c r="A192" s="81" t="s">
        <v>41</v>
      </c>
      <c r="B192" s="83">
        <v>2440</v>
      </c>
    </row>
    <row r="193" spans="1:2" x14ac:dyDescent="0.3">
      <c r="A193" s="81" t="s">
        <v>477</v>
      </c>
      <c r="B193" s="83">
        <v>30</v>
      </c>
    </row>
    <row r="194" spans="1:2" x14ac:dyDescent="0.3">
      <c r="A194" s="81" t="s">
        <v>323</v>
      </c>
      <c r="B194" s="83">
        <v>60</v>
      </c>
    </row>
    <row r="195" spans="1:2" x14ac:dyDescent="0.3">
      <c r="A195" s="81" t="s">
        <v>490</v>
      </c>
      <c r="B195" s="83">
        <v>500</v>
      </c>
    </row>
    <row r="196" spans="1:2" x14ac:dyDescent="0.3">
      <c r="A196" s="81" t="s">
        <v>335</v>
      </c>
      <c r="B196" s="83">
        <v>2820</v>
      </c>
    </row>
    <row r="197" spans="1:2" x14ac:dyDescent="0.3">
      <c r="A197" s="81" t="s">
        <v>489</v>
      </c>
      <c r="B197" s="83">
        <v>70</v>
      </c>
    </row>
    <row r="198" spans="1:2" x14ac:dyDescent="0.3">
      <c r="A198" s="81" t="s">
        <v>31</v>
      </c>
      <c r="B198" s="83">
        <v>1028</v>
      </c>
    </row>
    <row r="199" spans="1:2" x14ac:dyDescent="0.3">
      <c r="A199" s="81" t="s">
        <v>492</v>
      </c>
      <c r="B199" s="83">
        <v>510</v>
      </c>
    </row>
    <row r="200" spans="1:2" x14ac:dyDescent="0.3">
      <c r="A200" s="81" t="s">
        <v>494</v>
      </c>
      <c r="B200" s="83">
        <v>600</v>
      </c>
    </row>
    <row r="201" spans="1:2" x14ac:dyDescent="0.3">
      <c r="A201" s="81" t="s">
        <v>486</v>
      </c>
      <c r="B201" s="83">
        <v>5635</v>
      </c>
    </row>
    <row r="202" spans="1:2" x14ac:dyDescent="0.3">
      <c r="A202" s="81" t="s">
        <v>291</v>
      </c>
      <c r="B202" s="83">
        <v>910</v>
      </c>
    </row>
    <row r="203" spans="1:2" x14ac:dyDescent="0.3">
      <c r="A203" s="81" t="s">
        <v>491</v>
      </c>
      <c r="B203" s="83">
        <v>152</v>
      </c>
    </row>
    <row r="204" spans="1:2" x14ac:dyDescent="0.3">
      <c r="A204" s="81" t="s">
        <v>25</v>
      </c>
      <c r="B204" s="83">
        <v>70</v>
      </c>
    </row>
    <row r="205" spans="1:2" x14ac:dyDescent="0.3">
      <c r="A205" s="81" t="s">
        <v>42</v>
      </c>
      <c r="B205" s="83">
        <v>1520</v>
      </c>
    </row>
    <row r="206" spans="1:2" x14ac:dyDescent="0.3">
      <c r="A206" s="81" t="s">
        <v>333</v>
      </c>
      <c r="B206" s="83">
        <v>1050</v>
      </c>
    </row>
    <row r="207" spans="1:2" x14ac:dyDescent="0.3">
      <c r="A207" s="81" t="s">
        <v>39</v>
      </c>
      <c r="B207" s="83">
        <v>800</v>
      </c>
    </row>
    <row r="208" spans="1:2" x14ac:dyDescent="0.3">
      <c r="A208" s="81" t="s">
        <v>493</v>
      </c>
      <c r="B208" s="83">
        <v>300</v>
      </c>
    </row>
    <row r="209" spans="1:2" x14ac:dyDescent="0.3">
      <c r="A209" s="80">
        <v>8</v>
      </c>
      <c r="B209" s="83">
        <v>25918</v>
      </c>
    </row>
    <row r="210" spans="1:2" x14ac:dyDescent="0.3">
      <c r="A210" s="81" t="s">
        <v>485</v>
      </c>
      <c r="B210" s="83">
        <v>180</v>
      </c>
    </row>
    <row r="211" spans="1:2" x14ac:dyDescent="0.3">
      <c r="A211" s="81" t="s">
        <v>40</v>
      </c>
      <c r="B211" s="83">
        <v>90</v>
      </c>
    </row>
    <row r="212" spans="1:2" x14ac:dyDescent="0.3">
      <c r="A212" s="81" t="s">
        <v>500</v>
      </c>
      <c r="B212" s="83">
        <v>40</v>
      </c>
    </row>
    <row r="213" spans="1:2" x14ac:dyDescent="0.3">
      <c r="A213" s="81" t="s">
        <v>497</v>
      </c>
      <c r="B213" s="83">
        <v>2100</v>
      </c>
    </row>
    <row r="214" spans="1:2" x14ac:dyDescent="0.3">
      <c r="A214" s="81" t="s">
        <v>29</v>
      </c>
      <c r="B214" s="83">
        <v>3310</v>
      </c>
    </row>
    <row r="215" spans="1:2" x14ac:dyDescent="0.3">
      <c r="A215" s="81" t="s">
        <v>498</v>
      </c>
      <c r="B215" s="83">
        <v>1685</v>
      </c>
    </row>
    <row r="216" spans="1:2" x14ac:dyDescent="0.3">
      <c r="A216" s="81" t="s">
        <v>26</v>
      </c>
      <c r="B216" s="83">
        <v>3050</v>
      </c>
    </row>
    <row r="217" spans="1:2" x14ac:dyDescent="0.3">
      <c r="A217" s="81" t="s">
        <v>499</v>
      </c>
      <c r="B217" s="83">
        <v>180</v>
      </c>
    </row>
    <row r="218" spans="1:2" x14ac:dyDescent="0.3">
      <c r="A218" s="81" t="s">
        <v>37</v>
      </c>
      <c r="B218" s="83">
        <v>1660</v>
      </c>
    </row>
    <row r="219" spans="1:2" x14ac:dyDescent="0.3">
      <c r="A219" s="81" t="s">
        <v>296</v>
      </c>
      <c r="B219" s="83">
        <v>3000</v>
      </c>
    </row>
    <row r="220" spans="1:2" x14ac:dyDescent="0.3">
      <c r="A220" s="81" t="s">
        <v>33</v>
      </c>
      <c r="B220" s="83">
        <v>1500</v>
      </c>
    </row>
    <row r="221" spans="1:2" x14ac:dyDescent="0.3">
      <c r="A221" s="81" t="s">
        <v>477</v>
      </c>
      <c r="B221" s="83">
        <v>400</v>
      </c>
    </row>
    <row r="222" spans="1:2" x14ac:dyDescent="0.3">
      <c r="A222" s="81" t="s">
        <v>34</v>
      </c>
      <c r="B222" s="83">
        <v>105</v>
      </c>
    </row>
    <row r="223" spans="1:2" x14ac:dyDescent="0.3">
      <c r="A223" s="81" t="s">
        <v>323</v>
      </c>
      <c r="B223" s="83">
        <v>250</v>
      </c>
    </row>
    <row r="224" spans="1:2" x14ac:dyDescent="0.3">
      <c r="A224" s="81" t="s">
        <v>490</v>
      </c>
      <c r="B224" s="83">
        <v>1200</v>
      </c>
    </row>
    <row r="225" spans="1:2" x14ac:dyDescent="0.3">
      <c r="A225" s="81" t="s">
        <v>325</v>
      </c>
      <c r="B225" s="83">
        <v>1600</v>
      </c>
    </row>
    <row r="226" spans="1:2" x14ac:dyDescent="0.3">
      <c r="A226" s="81" t="s">
        <v>335</v>
      </c>
      <c r="B226" s="83">
        <v>800</v>
      </c>
    </row>
    <row r="227" spans="1:2" x14ac:dyDescent="0.3">
      <c r="A227" s="81" t="s">
        <v>35</v>
      </c>
      <c r="B227" s="83">
        <v>70</v>
      </c>
    </row>
    <row r="228" spans="1:2" x14ac:dyDescent="0.3">
      <c r="A228" s="81" t="s">
        <v>492</v>
      </c>
      <c r="B228" s="83">
        <v>630</v>
      </c>
    </row>
    <row r="229" spans="1:2" x14ac:dyDescent="0.3">
      <c r="A229" s="81" t="s">
        <v>320</v>
      </c>
      <c r="B229" s="83">
        <v>80</v>
      </c>
    </row>
    <row r="230" spans="1:2" x14ac:dyDescent="0.3">
      <c r="A230" s="81" t="s">
        <v>494</v>
      </c>
      <c r="B230" s="83">
        <v>700</v>
      </c>
    </row>
    <row r="231" spans="1:2" x14ac:dyDescent="0.3">
      <c r="A231" s="81" t="s">
        <v>291</v>
      </c>
      <c r="B231" s="83">
        <v>76</v>
      </c>
    </row>
    <row r="232" spans="1:2" x14ac:dyDescent="0.3">
      <c r="A232" s="81" t="s">
        <v>42</v>
      </c>
      <c r="B232" s="83">
        <v>1070</v>
      </c>
    </row>
    <row r="233" spans="1:2" x14ac:dyDescent="0.3">
      <c r="A233" s="81" t="s">
        <v>32</v>
      </c>
      <c r="B233" s="83">
        <v>200</v>
      </c>
    </row>
    <row r="234" spans="1:2" x14ac:dyDescent="0.3">
      <c r="A234" s="81" t="s">
        <v>27</v>
      </c>
      <c r="B234" s="83">
        <v>1220</v>
      </c>
    </row>
    <row r="235" spans="1:2" x14ac:dyDescent="0.3">
      <c r="A235" s="81" t="s">
        <v>39</v>
      </c>
      <c r="B235" s="83">
        <v>152</v>
      </c>
    </row>
    <row r="236" spans="1:2" x14ac:dyDescent="0.3">
      <c r="A236" s="81" t="s">
        <v>493</v>
      </c>
      <c r="B236" s="83">
        <v>70</v>
      </c>
    </row>
    <row r="237" spans="1:2" x14ac:dyDescent="0.3">
      <c r="A237" s="81" t="s">
        <v>330</v>
      </c>
      <c r="B237" s="83">
        <v>500</v>
      </c>
    </row>
    <row r="238" spans="1:2" x14ac:dyDescent="0.3">
      <c r="A238" s="80">
        <v>9</v>
      </c>
      <c r="B238" s="83">
        <v>33068</v>
      </c>
    </row>
    <row r="239" spans="1:2" x14ac:dyDescent="0.3">
      <c r="A239" s="81" t="s">
        <v>36</v>
      </c>
      <c r="B239" s="83">
        <v>1050</v>
      </c>
    </row>
    <row r="240" spans="1:2" x14ac:dyDescent="0.3">
      <c r="A240" s="81" t="s">
        <v>40</v>
      </c>
      <c r="B240" s="83">
        <v>180</v>
      </c>
    </row>
    <row r="241" spans="1:2" x14ac:dyDescent="0.3">
      <c r="A241" s="81" t="s">
        <v>328</v>
      </c>
      <c r="B241" s="83">
        <v>300</v>
      </c>
    </row>
    <row r="242" spans="1:2" x14ac:dyDescent="0.3">
      <c r="A242" s="81" t="s">
        <v>500</v>
      </c>
      <c r="B242" s="83">
        <v>500</v>
      </c>
    </row>
    <row r="243" spans="1:2" x14ac:dyDescent="0.3">
      <c r="A243" s="81" t="s">
        <v>496</v>
      </c>
      <c r="B243" s="83">
        <v>770</v>
      </c>
    </row>
    <row r="244" spans="1:2" x14ac:dyDescent="0.3">
      <c r="A244" s="81" t="s">
        <v>497</v>
      </c>
      <c r="B244" s="83">
        <v>1500</v>
      </c>
    </row>
    <row r="245" spans="1:2" x14ac:dyDescent="0.3">
      <c r="A245" s="81" t="s">
        <v>29</v>
      </c>
      <c r="B245" s="83">
        <v>960</v>
      </c>
    </row>
    <row r="246" spans="1:2" x14ac:dyDescent="0.3">
      <c r="A246" s="81" t="s">
        <v>43</v>
      </c>
      <c r="B246" s="83">
        <v>500</v>
      </c>
    </row>
    <row r="247" spans="1:2" x14ac:dyDescent="0.3">
      <c r="A247" s="81" t="s">
        <v>499</v>
      </c>
      <c r="B247" s="83">
        <v>80</v>
      </c>
    </row>
    <row r="248" spans="1:2" x14ac:dyDescent="0.3">
      <c r="A248" s="81" t="s">
        <v>314</v>
      </c>
      <c r="B248" s="83">
        <v>340</v>
      </c>
    </row>
    <row r="249" spans="1:2" x14ac:dyDescent="0.3">
      <c r="A249" s="81" t="s">
        <v>296</v>
      </c>
      <c r="B249" s="83">
        <v>900</v>
      </c>
    </row>
    <row r="250" spans="1:2" x14ac:dyDescent="0.3">
      <c r="A250" s="81" t="s">
        <v>33</v>
      </c>
      <c r="B250" s="83">
        <v>120</v>
      </c>
    </row>
    <row r="251" spans="1:2" x14ac:dyDescent="0.3">
      <c r="A251" s="81" t="s">
        <v>488</v>
      </c>
      <c r="B251" s="83">
        <v>1010</v>
      </c>
    </row>
    <row r="252" spans="1:2" x14ac:dyDescent="0.3">
      <c r="A252" s="81" t="s">
        <v>477</v>
      </c>
      <c r="B252" s="83">
        <v>800</v>
      </c>
    </row>
    <row r="253" spans="1:2" x14ac:dyDescent="0.3">
      <c r="A253" s="81" t="s">
        <v>34</v>
      </c>
      <c r="B253" s="83">
        <v>130</v>
      </c>
    </row>
    <row r="254" spans="1:2" x14ac:dyDescent="0.3">
      <c r="A254" s="81" t="s">
        <v>490</v>
      </c>
      <c r="B254" s="83">
        <v>1800</v>
      </c>
    </row>
    <row r="255" spans="1:2" x14ac:dyDescent="0.3">
      <c r="A255" s="81" t="s">
        <v>325</v>
      </c>
      <c r="B255" s="83">
        <v>1800</v>
      </c>
    </row>
    <row r="256" spans="1:2" x14ac:dyDescent="0.3">
      <c r="A256" s="81" t="s">
        <v>35</v>
      </c>
      <c r="B256" s="83">
        <v>500</v>
      </c>
    </row>
    <row r="257" spans="1:2" x14ac:dyDescent="0.3">
      <c r="A257" s="81" t="s">
        <v>492</v>
      </c>
      <c r="B257" s="83">
        <v>100</v>
      </c>
    </row>
    <row r="258" spans="1:2" x14ac:dyDescent="0.3">
      <c r="A258" s="81" t="s">
        <v>320</v>
      </c>
      <c r="B258" s="83">
        <v>1600</v>
      </c>
    </row>
    <row r="259" spans="1:2" x14ac:dyDescent="0.3">
      <c r="A259" s="81" t="s">
        <v>501</v>
      </c>
      <c r="B259" s="83">
        <v>2900</v>
      </c>
    </row>
    <row r="260" spans="1:2" x14ac:dyDescent="0.3">
      <c r="A260" s="81" t="s">
        <v>494</v>
      </c>
      <c r="B260" s="83">
        <v>960</v>
      </c>
    </row>
    <row r="261" spans="1:2" x14ac:dyDescent="0.3">
      <c r="A261" s="81" t="s">
        <v>291</v>
      </c>
      <c r="B261" s="83">
        <v>5600</v>
      </c>
    </row>
    <row r="262" spans="1:2" x14ac:dyDescent="0.3">
      <c r="A262" s="81" t="s">
        <v>491</v>
      </c>
      <c r="B262" s="83">
        <v>1550</v>
      </c>
    </row>
    <row r="263" spans="1:2" x14ac:dyDescent="0.3">
      <c r="A263" s="81" t="s">
        <v>42</v>
      </c>
      <c r="B263" s="83">
        <v>80</v>
      </c>
    </row>
    <row r="264" spans="1:2" x14ac:dyDescent="0.3">
      <c r="A264" s="81" t="s">
        <v>333</v>
      </c>
      <c r="B264" s="83">
        <v>1080</v>
      </c>
    </row>
    <row r="265" spans="1:2" x14ac:dyDescent="0.3">
      <c r="A265" s="81" t="s">
        <v>24</v>
      </c>
      <c r="B265" s="83">
        <v>800</v>
      </c>
    </row>
    <row r="266" spans="1:2" x14ac:dyDescent="0.3">
      <c r="A266" s="81" t="s">
        <v>32</v>
      </c>
      <c r="B266" s="83">
        <v>152</v>
      </c>
    </row>
    <row r="267" spans="1:2" x14ac:dyDescent="0.3">
      <c r="A267" s="81" t="s">
        <v>493</v>
      </c>
      <c r="B267" s="83">
        <v>4876</v>
      </c>
    </row>
    <row r="268" spans="1:2" x14ac:dyDescent="0.3">
      <c r="A268" s="81" t="s">
        <v>330</v>
      </c>
      <c r="B268" s="83">
        <v>130</v>
      </c>
    </row>
    <row r="269" spans="1:2" x14ac:dyDescent="0.3">
      <c r="A269" s="80">
        <v>10</v>
      </c>
      <c r="B269" s="83">
        <v>29170</v>
      </c>
    </row>
    <row r="270" spans="1:2" x14ac:dyDescent="0.3">
      <c r="A270" s="81" t="s">
        <v>485</v>
      </c>
      <c r="B270" s="83">
        <v>800</v>
      </c>
    </row>
    <row r="271" spans="1:2" x14ac:dyDescent="0.3">
      <c r="A271" s="81" t="s">
        <v>40</v>
      </c>
      <c r="B271" s="83">
        <v>60</v>
      </c>
    </row>
    <row r="272" spans="1:2" x14ac:dyDescent="0.3">
      <c r="A272" s="81" t="s">
        <v>328</v>
      </c>
      <c r="B272" s="83">
        <v>2400</v>
      </c>
    </row>
    <row r="273" spans="1:2" x14ac:dyDescent="0.3">
      <c r="A273" s="81" t="s">
        <v>498</v>
      </c>
      <c r="B273" s="83">
        <v>2700</v>
      </c>
    </row>
    <row r="274" spans="1:2" x14ac:dyDescent="0.3">
      <c r="A274" s="81" t="s">
        <v>26</v>
      </c>
      <c r="B274" s="83">
        <v>350</v>
      </c>
    </row>
    <row r="275" spans="1:2" x14ac:dyDescent="0.3">
      <c r="A275" s="81" t="s">
        <v>37</v>
      </c>
      <c r="B275" s="83">
        <v>818</v>
      </c>
    </row>
    <row r="276" spans="1:2" x14ac:dyDescent="0.3">
      <c r="A276" s="81" t="s">
        <v>296</v>
      </c>
      <c r="B276" s="83">
        <v>195</v>
      </c>
    </row>
    <row r="277" spans="1:2" x14ac:dyDescent="0.3">
      <c r="A277" s="81" t="s">
        <v>33</v>
      </c>
      <c r="B277" s="83">
        <v>2970</v>
      </c>
    </row>
    <row r="278" spans="1:2" x14ac:dyDescent="0.3">
      <c r="A278" s="81" t="s">
        <v>488</v>
      </c>
      <c r="B278" s="83">
        <v>600</v>
      </c>
    </row>
    <row r="279" spans="1:2" x14ac:dyDescent="0.3">
      <c r="A279" s="81" t="s">
        <v>41</v>
      </c>
      <c r="B279" s="83">
        <v>952</v>
      </c>
    </row>
    <row r="280" spans="1:2" x14ac:dyDescent="0.3">
      <c r="A280" s="81" t="s">
        <v>477</v>
      </c>
      <c r="B280" s="83">
        <v>120</v>
      </c>
    </row>
    <row r="281" spans="1:2" x14ac:dyDescent="0.3">
      <c r="A281" s="81" t="s">
        <v>38</v>
      </c>
      <c r="B281" s="83">
        <v>4610</v>
      </c>
    </row>
    <row r="282" spans="1:2" x14ac:dyDescent="0.3">
      <c r="A282" s="81" t="s">
        <v>34</v>
      </c>
      <c r="B282" s="83">
        <v>1340</v>
      </c>
    </row>
    <row r="283" spans="1:2" x14ac:dyDescent="0.3">
      <c r="A283" s="81" t="s">
        <v>323</v>
      </c>
      <c r="B283" s="83">
        <v>1000</v>
      </c>
    </row>
    <row r="284" spans="1:2" x14ac:dyDescent="0.3">
      <c r="A284" s="81" t="s">
        <v>490</v>
      </c>
      <c r="B284" s="83">
        <v>240</v>
      </c>
    </row>
    <row r="285" spans="1:2" x14ac:dyDescent="0.3">
      <c r="A285" s="81" t="s">
        <v>325</v>
      </c>
      <c r="B285" s="83">
        <v>270</v>
      </c>
    </row>
    <row r="286" spans="1:2" x14ac:dyDescent="0.3">
      <c r="A286" s="81" t="s">
        <v>335</v>
      </c>
      <c r="B286" s="83">
        <v>105</v>
      </c>
    </row>
    <row r="287" spans="1:2" x14ac:dyDescent="0.3">
      <c r="A287" s="81" t="s">
        <v>489</v>
      </c>
      <c r="B287" s="83">
        <v>60</v>
      </c>
    </row>
    <row r="288" spans="1:2" x14ac:dyDescent="0.3">
      <c r="A288" s="81" t="s">
        <v>31</v>
      </c>
      <c r="B288" s="83">
        <v>200</v>
      </c>
    </row>
    <row r="289" spans="1:2" x14ac:dyDescent="0.3">
      <c r="A289" s="81" t="s">
        <v>492</v>
      </c>
      <c r="B289" s="83">
        <v>80</v>
      </c>
    </row>
    <row r="290" spans="1:2" x14ac:dyDescent="0.3">
      <c r="A290" s="81" t="s">
        <v>501</v>
      </c>
      <c r="B290" s="83">
        <v>1100</v>
      </c>
    </row>
    <row r="291" spans="1:2" x14ac:dyDescent="0.3">
      <c r="A291" s="81" t="s">
        <v>311</v>
      </c>
      <c r="B291" s="83">
        <v>1300</v>
      </c>
    </row>
    <row r="292" spans="1:2" x14ac:dyDescent="0.3">
      <c r="A292" s="81" t="s">
        <v>486</v>
      </c>
      <c r="B292" s="83">
        <v>2700</v>
      </c>
    </row>
    <row r="293" spans="1:2" x14ac:dyDescent="0.3">
      <c r="A293" s="81" t="s">
        <v>32</v>
      </c>
      <c r="B293" s="83">
        <v>700</v>
      </c>
    </row>
    <row r="294" spans="1:2" x14ac:dyDescent="0.3">
      <c r="A294" s="81" t="s">
        <v>27</v>
      </c>
      <c r="B294" s="83">
        <v>2100</v>
      </c>
    </row>
    <row r="295" spans="1:2" x14ac:dyDescent="0.3">
      <c r="A295" s="81" t="s">
        <v>39</v>
      </c>
      <c r="B295" s="83">
        <v>810</v>
      </c>
    </row>
    <row r="296" spans="1:2" x14ac:dyDescent="0.3">
      <c r="A296" s="81" t="s">
        <v>493</v>
      </c>
      <c r="B296" s="83">
        <v>590</v>
      </c>
    </row>
    <row r="297" spans="1:2" x14ac:dyDescent="0.3">
      <c r="A297" s="80">
        <v>11</v>
      </c>
      <c r="B297" s="83">
        <v>40968</v>
      </c>
    </row>
    <row r="298" spans="1:2" x14ac:dyDescent="0.3">
      <c r="A298" s="81" t="s">
        <v>485</v>
      </c>
      <c r="B298" s="83">
        <v>800</v>
      </c>
    </row>
    <row r="299" spans="1:2" x14ac:dyDescent="0.3">
      <c r="A299" s="81" t="s">
        <v>36</v>
      </c>
      <c r="B299" s="83">
        <v>210</v>
      </c>
    </row>
    <row r="300" spans="1:2" x14ac:dyDescent="0.3">
      <c r="A300" s="81" t="s">
        <v>317</v>
      </c>
      <c r="B300" s="83">
        <v>60</v>
      </c>
    </row>
    <row r="301" spans="1:2" x14ac:dyDescent="0.3">
      <c r="A301" s="81" t="s">
        <v>40</v>
      </c>
      <c r="B301" s="83">
        <v>3200</v>
      </c>
    </row>
    <row r="302" spans="1:2" x14ac:dyDescent="0.3">
      <c r="A302" s="81" t="s">
        <v>328</v>
      </c>
      <c r="B302" s="83">
        <v>340</v>
      </c>
    </row>
    <row r="303" spans="1:2" x14ac:dyDescent="0.3">
      <c r="A303" s="81" t="s">
        <v>500</v>
      </c>
      <c r="B303" s="83">
        <v>360</v>
      </c>
    </row>
    <row r="304" spans="1:2" x14ac:dyDescent="0.3">
      <c r="A304" s="81" t="s">
        <v>28</v>
      </c>
      <c r="B304" s="83">
        <v>120</v>
      </c>
    </row>
    <row r="305" spans="1:2" x14ac:dyDescent="0.3">
      <c r="A305" s="81" t="s">
        <v>497</v>
      </c>
      <c r="B305" s="83">
        <v>180</v>
      </c>
    </row>
    <row r="306" spans="1:2" x14ac:dyDescent="0.3">
      <c r="A306" s="81" t="s">
        <v>29</v>
      </c>
      <c r="B306" s="83">
        <v>900</v>
      </c>
    </row>
    <row r="307" spans="1:2" x14ac:dyDescent="0.3">
      <c r="A307" s="81" t="s">
        <v>498</v>
      </c>
      <c r="B307" s="83">
        <v>350</v>
      </c>
    </row>
    <row r="308" spans="1:2" x14ac:dyDescent="0.3">
      <c r="A308" s="81" t="s">
        <v>499</v>
      </c>
      <c r="B308" s="83">
        <v>7500</v>
      </c>
    </row>
    <row r="309" spans="1:2" x14ac:dyDescent="0.3">
      <c r="A309" s="81" t="s">
        <v>37</v>
      </c>
      <c r="B309" s="83">
        <v>2100</v>
      </c>
    </row>
    <row r="310" spans="1:2" x14ac:dyDescent="0.3">
      <c r="A310" s="81" t="s">
        <v>314</v>
      </c>
      <c r="B310" s="83">
        <v>600</v>
      </c>
    </row>
    <row r="311" spans="1:2" x14ac:dyDescent="0.3">
      <c r="A311" s="81" t="s">
        <v>487</v>
      </c>
      <c r="B311" s="83">
        <v>70</v>
      </c>
    </row>
    <row r="312" spans="1:2" x14ac:dyDescent="0.3">
      <c r="A312" s="81" t="s">
        <v>296</v>
      </c>
      <c r="B312" s="83">
        <v>200</v>
      </c>
    </row>
    <row r="313" spans="1:2" x14ac:dyDescent="0.3">
      <c r="A313" s="81" t="s">
        <v>30</v>
      </c>
      <c r="B313" s="83">
        <v>105</v>
      </c>
    </row>
    <row r="314" spans="1:2" x14ac:dyDescent="0.3">
      <c r="A314" s="81" t="s">
        <v>488</v>
      </c>
      <c r="B314" s="83">
        <v>1200</v>
      </c>
    </row>
    <row r="315" spans="1:2" x14ac:dyDescent="0.3">
      <c r="A315" s="81" t="s">
        <v>41</v>
      </c>
      <c r="B315" s="83">
        <v>1000</v>
      </c>
    </row>
    <row r="316" spans="1:2" x14ac:dyDescent="0.3">
      <c r="A316" s="81" t="s">
        <v>490</v>
      </c>
      <c r="B316" s="83">
        <v>400</v>
      </c>
    </row>
    <row r="317" spans="1:2" x14ac:dyDescent="0.3">
      <c r="A317" s="81" t="s">
        <v>335</v>
      </c>
      <c r="B317" s="83">
        <v>250</v>
      </c>
    </row>
    <row r="318" spans="1:2" x14ac:dyDescent="0.3">
      <c r="A318" s="81" t="s">
        <v>31</v>
      </c>
      <c r="B318" s="83">
        <v>1310</v>
      </c>
    </row>
    <row r="319" spans="1:2" x14ac:dyDescent="0.3">
      <c r="A319" s="81" t="s">
        <v>492</v>
      </c>
      <c r="B319" s="83">
        <v>1635</v>
      </c>
    </row>
    <row r="320" spans="1:2" x14ac:dyDescent="0.3">
      <c r="A320" s="81" t="s">
        <v>320</v>
      </c>
      <c r="B320" s="83">
        <v>380</v>
      </c>
    </row>
    <row r="321" spans="1:2" x14ac:dyDescent="0.3">
      <c r="A321" s="81" t="s">
        <v>311</v>
      </c>
      <c r="B321" s="83">
        <v>300</v>
      </c>
    </row>
    <row r="322" spans="1:2" x14ac:dyDescent="0.3">
      <c r="A322" s="81" t="s">
        <v>494</v>
      </c>
      <c r="B322" s="83">
        <v>510</v>
      </c>
    </row>
    <row r="323" spans="1:2" x14ac:dyDescent="0.3">
      <c r="A323" s="81" t="s">
        <v>486</v>
      </c>
      <c r="B323" s="83">
        <v>76</v>
      </c>
    </row>
    <row r="324" spans="1:2" x14ac:dyDescent="0.3">
      <c r="A324" s="81" t="s">
        <v>291</v>
      </c>
      <c r="B324" s="83">
        <v>140</v>
      </c>
    </row>
    <row r="325" spans="1:2" x14ac:dyDescent="0.3">
      <c r="A325" s="81" t="s">
        <v>42</v>
      </c>
      <c r="B325" s="83">
        <v>11200</v>
      </c>
    </row>
    <row r="326" spans="1:2" x14ac:dyDescent="0.3">
      <c r="A326" s="81" t="s">
        <v>24</v>
      </c>
      <c r="B326" s="83">
        <v>1200</v>
      </c>
    </row>
    <row r="327" spans="1:2" x14ac:dyDescent="0.3">
      <c r="A327" s="81" t="s">
        <v>27</v>
      </c>
      <c r="B327" s="83">
        <v>1320</v>
      </c>
    </row>
    <row r="328" spans="1:2" x14ac:dyDescent="0.3">
      <c r="A328" s="81" t="s">
        <v>493</v>
      </c>
      <c r="B328" s="83">
        <v>1600</v>
      </c>
    </row>
    <row r="329" spans="1:2" x14ac:dyDescent="0.3">
      <c r="A329" s="81" t="s">
        <v>330</v>
      </c>
      <c r="B329" s="83">
        <v>1352</v>
      </c>
    </row>
    <row r="330" spans="1:2" x14ac:dyDescent="0.3">
      <c r="A330" s="80">
        <v>12</v>
      </c>
      <c r="B330" s="83">
        <v>38953</v>
      </c>
    </row>
    <row r="331" spans="1:2" x14ac:dyDescent="0.3">
      <c r="A331" s="81" t="s">
        <v>36</v>
      </c>
      <c r="B331" s="83">
        <v>120</v>
      </c>
    </row>
    <row r="332" spans="1:2" x14ac:dyDescent="0.3">
      <c r="A332" s="81" t="s">
        <v>317</v>
      </c>
      <c r="B332" s="83">
        <v>1500</v>
      </c>
    </row>
    <row r="333" spans="1:2" x14ac:dyDescent="0.3">
      <c r="A333" s="81" t="s">
        <v>328</v>
      </c>
      <c r="B333" s="83">
        <v>1540</v>
      </c>
    </row>
    <row r="334" spans="1:2" x14ac:dyDescent="0.3">
      <c r="A334" s="81" t="s">
        <v>496</v>
      </c>
      <c r="B334" s="83">
        <v>800</v>
      </c>
    </row>
    <row r="335" spans="1:2" x14ac:dyDescent="0.3">
      <c r="A335" s="81" t="s">
        <v>28</v>
      </c>
      <c r="B335" s="83">
        <v>850</v>
      </c>
    </row>
    <row r="336" spans="1:2" x14ac:dyDescent="0.3">
      <c r="A336" s="81" t="s">
        <v>497</v>
      </c>
      <c r="B336" s="83">
        <v>270</v>
      </c>
    </row>
    <row r="337" spans="1:2" x14ac:dyDescent="0.3">
      <c r="A337" s="81" t="s">
        <v>29</v>
      </c>
      <c r="B337" s="83">
        <v>5600</v>
      </c>
    </row>
    <row r="338" spans="1:2" x14ac:dyDescent="0.3">
      <c r="A338" s="81" t="s">
        <v>43</v>
      </c>
      <c r="B338" s="83">
        <v>70</v>
      </c>
    </row>
    <row r="339" spans="1:2" x14ac:dyDescent="0.3">
      <c r="A339" s="81" t="s">
        <v>499</v>
      </c>
      <c r="B339" s="83">
        <v>530</v>
      </c>
    </row>
    <row r="340" spans="1:2" x14ac:dyDescent="0.3">
      <c r="A340" s="81" t="s">
        <v>37</v>
      </c>
      <c r="B340" s="83">
        <v>2400</v>
      </c>
    </row>
    <row r="341" spans="1:2" x14ac:dyDescent="0.3">
      <c r="A341" s="81" t="s">
        <v>314</v>
      </c>
      <c r="B341" s="83">
        <v>1640</v>
      </c>
    </row>
    <row r="342" spans="1:2" x14ac:dyDescent="0.3">
      <c r="A342" s="81" t="s">
        <v>296</v>
      </c>
      <c r="B342" s="83">
        <v>2746</v>
      </c>
    </row>
    <row r="343" spans="1:2" x14ac:dyDescent="0.3">
      <c r="A343" s="81" t="s">
        <v>33</v>
      </c>
      <c r="B343" s="83">
        <v>600</v>
      </c>
    </row>
    <row r="344" spans="1:2" x14ac:dyDescent="0.3">
      <c r="A344" s="81" t="s">
        <v>477</v>
      </c>
      <c r="B344" s="83">
        <v>240</v>
      </c>
    </row>
    <row r="345" spans="1:2" x14ac:dyDescent="0.3">
      <c r="A345" s="81" t="s">
        <v>38</v>
      </c>
      <c r="B345" s="83">
        <v>3620</v>
      </c>
    </row>
    <row r="346" spans="1:2" x14ac:dyDescent="0.3">
      <c r="A346" s="81" t="s">
        <v>34</v>
      </c>
      <c r="B346" s="83">
        <v>1032</v>
      </c>
    </row>
    <row r="347" spans="1:2" x14ac:dyDescent="0.3">
      <c r="A347" s="81" t="s">
        <v>323</v>
      </c>
      <c r="B347" s="83">
        <v>600</v>
      </c>
    </row>
    <row r="348" spans="1:2" x14ac:dyDescent="0.3">
      <c r="A348" s="81" t="s">
        <v>490</v>
      </c>
      <c r="B348" s="83">
        <v>430</v>
      </c>
    </row>
    <row r="349" spans="1:2" x14ac:dyDescent="0.3">
      <c r="A349" s="81" t="s">
        <v>325</v>
      </c>
      <c r="B349" s="83">
        <v>140</v>
      </c>
    </row>
    <row r="350" spans="1:2" x14ac:dyDescent="0.3">
      <c r="A350" s="81" t="s">
        <v>335</v>
      </c>
      <c r="B350" s="83">
        <v>290</v>
      </c>
    </row>
    <row r="351" spans="1:2" x14ac:dyDescent="0.3">
      <c r="A351" s="81" t="s">
        <v>489</v>
      </c>
      <c r="B351" s="83">
        <v>2700</v>
      </c>
    </row>
    <row r="352" spans="1:2" x14ac:dyDescent="0.3">
      <c r="A352" s="81" t="s">
        <v>35</v>
      </c>
      <c r="B352" s="83">
        <v>60</v>
      </c>
    </row>
    <row r="353" spans="1:2" x14ac:dyDescent="0.3">
      <c r="A353" s="81" t="s">
        <v>501</v>
      </c>
      <c r="B353" s="83">
        <v>1150</v>
      </c>
    </row>
    <row r="354" spans="1:2" x14ac:dyDescent="0.3">
      <c r="A354" s="81" t="s">
        <v>311</v>
      </c>
      <c r="B354" s="83">
        <v>1135</v>
      </c>
    </row>
    <row r="355" spans="1:2" x14ac:dyDescent="0.3">
      <c r="A355" s="81" t="s">
        <v>494</v>
      </c>
      <c r="B355" s="83">
        <v>180</v>
      </c>
    </row>
    <row r="356" spans="1:2" x14ac:dyDescent="0.3">
      <c r="A356" s="81" t="s">
        <v>25</v>
      </c>
      <c r="B356" s="83">
        <v>1700</v>
      </c>
    </row>
    <row r="357" spans="1:2" x14ac:dyDescent="0.3">
      <c r="A357" s="81" t="s">
        <v>42</v>
      </c>
      <c r="B357" s="83">
        <v>2860</v>
      </c>
    </row>
    <row r="358" spans="1:2" x14ac:dyDescent="0.3">
      <c r="A358" s="81" t="s">
        <v>333</v>
      </c>
      <c r="B358" s="83">
        <v>1600</v>
      </c>
    </row>
    <row r="359" spans="1:2" x14ac:dyDescent="0.3">
      <c r="A359" s="81" t="s">
        <v>32</v>
      </c>
      <c r="B359" s="83">
        <v>70</v>
      </c>
    </row>
    <row r="360" spans="1:2" x14ac:dyDescent="0.3">
      <c r="A360" s="81" t="s">
        <v>27</v>
      </c>
      <c r="B360" s="83">
        <v>680</v>
      </c>
    </row>
    <row r="361" spans="1:2" x14ac:dyDescent="0.3">
      <c r="A361" s="81" t="s">
        <v>493</v>
      </c>
      <c r="B361" s="83">
        <v>1800</v>
      </c>
    </row>
    <row r="362" spans="1:2" x14ac:dyDescent="0.3">
      <c r="A362" s="80" t="s">
        <v>513</v>
      </c>
      <c r="B362" s="83">
        <v>386625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3:B14"/>
  <sheetViews>
    <sheetView workbookViewId="0"/>
  </sheetViews>
  <sheetFormatPr defaultColWidth="9.109375" defaultRowHeight="14.4" x14ac:dyDescent="0.3"/>
  <cols>
    <col min="1" max="1" width="34" style="7" customWidth="1"/>
    <col min="2" max="2" width="20.109375" style="7" customWidth="1"/>
    <col min="3" max="16384" width="9.109375" style="7"/>
  </cols>
  <sheetData>
    <row r="3" spans="1:2" ht="25.8" x14ac:dyDescent="0.5">
      <c r="A3" s="84" t="s">
        <v>524</v>
      </c>
    </row>
    <row r="6" spans="1:2" x14ac:dyDescent="0.3">
      <c r="A6" s="79" t="s">
        <v>512</v>
      </c>
      <c r="B6" t="s">
        <v>514</v>
      </c>
    </row>
    <row r="7" spans="1:2" x14ac:dyDescent="0.3">
      <c r="A7" s="80" t="s">
        <v>208</v>
      </c>
      <c r="B7" s="82">
        <v>141</v>
      </c>
    </row>
    <row r="8" spans="1:2" x14ac:dyDescent="0.3">
      <c r="A8" s="81" t="s">
        <v>197</v>
      </c>
      <c r="B8" s="82">
        <v>24</v>
      </c>
    </row>
    <row r="9" spans="1:2" x14ac:dyDescent="0.3">
      <c r="A9" s="81" t="s">
        <v>196</v>
      </c>
      <c r="B9" s="82">
        <v>24</v>
      </c>
    </row>
    <row r="10" spans="1:2" x14ac:dyDescent="0.3">
      <c r="A10" s="81" t="s">
        <v>190</v>
      </c>
      <c r="B10" s="82">
        <v>21</v>
      </c>
    </row>
    <row r="11" spans="1:2" x14ac:dyDescent="0.3">
      <c r="A11" s="81" t="s">
        <v>200</v>
      </c>
      <c r="B11" s="82">
        <v>25</v>
      </c>
    </row>
    <row r="12" spans="1:2" x14ac:dyDescent="0.3">
      <c r="A12" s="81" t="s">
        <v>193</v>
      </c>
      <c r="B12" s="82">
        <v>22</v>
      </c>
    </row>
    <row r="13" spans="1:2" x14ac:dyDescent="0.3">
      <c r="A13" s="81" t="s">
        <v>201</v>
      </c>
      <c r="B13" s="82">
        <v>25</v>
      </c>
    </row>
    <row r="14" spans="1:2" x14ac:dyDescent="0.3">
      <c r="A14" s="80" t="s">
        <v>513</v>
      </c>
      <c r="B14" s="82">
        <v>141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Clientes</vt:lpstr>
      <vt:lpstr>Funcionários</vt:lpstr>
      <vt:lpstr>Produtos</vt:lpstr>
      <vt:lpstr>Vendas</vt:lpstr>
      <vt:lpstr>Fechamento </vt:lpstr>
      <vt:lpstr>Consultas</vt:lpstr>
      <vt:lpstr>Planilha1</vt:lpstr>
      <vt:lpstr>Planilha2</vt:lpstr>
      <vt:lpstr>Planilha3</vt:lpstr>
      <vt:lpstr>Planilha4</vt:lpstr>
      <vt:lpstr>Planilha5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lanza</dc:creator>
  <cp:lastModifiedBy>Gabriel Lanza</cp:lastModifiedBy>
  <dcterms:created xsi:type="dcterms:W3CDTF">2020-09-03T22:42:59Z</dcterms:created>
  <dcterms:modified xsi:type="dcterms:W3CDTF">2022-09-11T13:51:33Z</dcterms:modified>
</cp:coreProperties>
</file>